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xecutive Summary" sheetId="2" state="visible" r:id="rId2"/>
    <sheet name="Safe Net Explained" sheetId="3" state="visible" r:id="rId3"/>
    <sheet name="Minimum Requirements" sheetId="4" state="visible" r:id="rId4"/>
    <sheet name="Previous vs New Detailed" sheetId="5" state="visible" r:id="rId5"/>
    <sheet name="Rules Side by Side" sheetId="6" state="visible" r:id="rId6"/>
    <sheet name="Proposal A - Premium" sheetId="7" state="visible" r:id="rId7"/>
    <sheet name="Proposal B - Coverage" sheetId="8" state="visible" r:id="rId8"/>
    <sheet name="Proposal C - Persistency" sheetId="9" state="visible" r:id="rId9"/>
    <sheet name="Worked Examples" sheetId="10" state="visible" r:id="rId10"/>
    <sheet name="Agent Examples - Real" sheetId="11" state="visible" r:id="rId11"/>
    <sheet name="Agent Examples - 50% Swap" sheetId="12" state="visible" r:id="rId12"/>
    <sheet name="Real vs Swap Comparison" sheetId="13" state="visible" r:id="rId13"/>
    <sheet name="Coverage Bundle Logic" sheetId="14" state="visible" r:id="rId14"/>
    <sheet name="Collected Kicker Logic" sheetId="15" state="visible" r:id="rId15"/>
    <sheet name="Profitability Cap" sheetId="16" state="visible" r:id="rId16"/>
    <sheet name="Chargeback Process" sheetId="17" state="visible" r:id="rId17"/>
    <sheet name="Agent Quick Reference" sheetId="18" state="visible" r:id="rId18"/>
    <sheet name="Manual Tracker Template" sheetId="19" state="visible" r:id="rId19"/>
    <sheet name="Assumptions" sheetId="20" state="visible" r:id="rId20"/>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2">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b val="1"/>
      <color rgb="001F4E78"/>
      <sz val="11"/>
    </font>
  </fonts>
  <fills count="16">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FFF2CC"/>
      </patternFill>
    </fill>
    <fill>
      <patternFill patternType="solid">
        <fgColor rgb="00FCE4D6"/>
      </patternFill>
    </fill>
    <fill>
      <patternFill patternType="solid">
        <fgColor rgb="00BDD7EE"/>
      </patternFill>
    </fill>
    <fill>
      <patternFill patternType="solid">
        <fgColor rgb="00FFFFFF"/>
      </patternFill>
    </fill>
    <fill>
      <patternFill patternType="solid">
        <fgColor rgb="00FFC7CE"/>
      </patternFill>
    </fill>
    <fill>
      <patternFill patternType="solid">
        <fgColor rgb="00C6EFCE"/>
      </patternFill>
    </fill>
    <fill>
      <patternFill patternType="solid">
        <fgColor rgb="00F4FFF4"/>
      </patternFill>
    </fill>
    <fill>
      <patternFill patternType="solid">
        <fgColor rgb="00FFFCEA"/>
      </patternFill>
    </fill>
    <fill>
      <patternFill patternType="solid">
        <fgColor rgb="00FFF6F0"/>
      </patternFill>
    </fill>
    <fill>
      <patternFill patternType="solid">
        <fgColor rgb="00FFEB9C"/>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6" fillId="6" borderId="1" applyAlignment="1" pivotButton="0" quotePrefix="0" xfId="0">
      <alignment horizontal="left" vertical="center" wrapText="1"/>
    </xf>
    <xf numFmtId="164" fontId="0" fillId="6" borderId="1" applyAlignment="1" pivotButton="0" quotePrefix="0" xfId="0">
      <alignment horizontal="right" vertical="center"/>
    </xf>
    <xf numFmtId="0" fontId="0" fillId="6" borderId="1" applyAlignment="1" pivotButton="0" quotePrefix="0" xfId="0">
      <alignment horizontal="left" vertical="center" wrapText="1"/>
    </xf>
    <xf numFmtId="0" fontId="6" fillId="7" borderId="1" applyAlignment="1" pivotButton="0" quotePrefix="0" xfId="0">
      <alignment horizontal="left" vertical="center" wrapText="1"/>
    </xf>
    <xf numFmtId="164" fontId="0" fillId="7" borderId="1" applyAlignment="1" pivotButton="0" quotePrefix="0" xfId="0">
      <alignment horizontal="right" vertical="center"/>
    </xf>
    <xf numFmtId="0" fontId="0" fillId="7"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164" fontId="6" fillId="6" borderId="1" applyAlignment="1" pivotButton="0" quotePrefix="0" xfId="0">
      <alignment horizontal="right" vertical="center"/>
    </xf>
    <xf numFmtId="164" fontId="6" fillId="7" borderId="1" applyAlignment="1" pivotButton="0" quotePrefix="0" xfId="0">
      <alignment horizontal="right" vertical="center"/>
    </xf>
    <xf numFmtId="0" fontId="6" fillId="8" borderId="0" pivotButton="0" quotePrefix="0" xfId="0"/>
    <xf numFmtId="164" fontId="6" fillId="8" borderId="1" applyAlignment="1" pivotButton="0" quotePrefix="0" xfId="0">
      <alignment horizontal="right" vertical="center"/>
    </xf>
    <xf numFmtId="0" fontId="8" fillId="0" borderId="0" applyAlignment="1" pivotButton="0" quotePrefix="0" xfId="0">
      <alignment vertical="top" wrapText="1"/>
    </xf>
    <xf numFmtId="0" fontId="9" fillId="0" borderId="0" pivotButton="0" quotePrefix="0" xfId="0"/>
    <xf numFmtId="0" fontId="0" fillId="8" borderId="1" applyAlignment="1" pivotButton="0" quotePrefix="0" xfId="0">
      <alignment horizontal="left" vertical="center" wrapText="1"/>
    </xf>
    <xf numFmtId="0" fontId="8" fillId="0" borderId="0" applyAlignment="1" pivotButton="0" quotePrefix="0" xfId="0">
      <alignment wrapText="1"/>
    </xf>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10" fillId="11" borderId="1" applyAlignment="1" pivotButton="0" quotePrefix="0" xfId="0">
      <alignment horizontal="left" vertical="center" wrapText="1"/>
    </xf>
    <xf numFmtId="0" fontId="0" fillId="8" borderId="0" pivotButton="0" quotePrefix="0" xfId="0"/>
    <xf numFmtId="0" fontId="3" fillId="0" borderId="0" applyAlignment="1" pivotButton="0" quotePrefix="0" xfId="0">
      <alignment wrapText="1"/>
    </xf>
    <xf numFmtId="0" fontId="1" fillId="5" borderId="0" pivotButton="0" quotePrefix="0" xfId="0"/>
    <xf numFmtId="0" fontId="0" fillId="12" borderId="1" applyAlignment="1" pivotButton="0" quotePrefix="0" xfId="0">
      <alignment horizontal="left" vertical="center" wrapText="1"/>
    </xf>
    <xf numFmtId="0" fontId="8" fillId="0" borderId="0" pivotButton="0" quotePrefix="0" xfId="0"/>
    <xf numFmtId="0" fontId="1" fillId="6" borderId="0" pivotButton="0" quotePrefix="0" xfId="0"/>
    <xf numFmtId="0" fontId="0" fillId="13" borderId="1" applyAlignment="1" pivotButton="0" quotePrefix="0" xfId="0">
      <alignment horizontal="left" vertical="center" wrapText="1"/>
    </xf>
    <xf numFmtId="0" fontId="1" fillId="7" borderId="0" pivotButton="0" quotePrefix="0" xfId="0"/>
    <xf numFmtId="0" fontId="0" fillId="14" borderId="1" applyAlignment="1" pivotButton="0" quotePrefix="0" xfId="0">
      <alignment horizontal="left" vertical="center" wrapText="1"/>
    </xf>
    <xf numFmtId="165" fontId="0" fillId="0" borderId="1" applyAlignment="1" pivotButton="0" quotePrefix="0" xfId="0">
      <alignment horizontal="right" vertical="center"/>
    </xf>
    <xf numFmtId="0" fontId="11" fillId="5" borderId="0" pivotButton="0" quotePrefix="0" xfId="0"/>
    <xf numFmtId="165" fontId="0" fillId="5" borderId="1" applyAlignment="1" pivotButton="0" quotePrefix="0" xfId="0">
      <alignment horizontal="right" vertical="center"/>
    </xf>
    <xf numFmtId="0" fontId="11" fillId="6" borderId="0" pivotButton="0" quotePrefix="0" xfId="0"/>
    <xf numFmtId="165" fontId="0" fillId="6" borderId="1" applyAlignment="1" pivotButton="0" quotePrefix="0" xfId="0">
      <alignment horizontal="right" vertical="center"/>
    </xf>
    <xf numFmtId="0" fontId="11" fillId="7" borderId="0" pivotButton="0" quotePrefix="0" xfId="0"/>
    <xf numFmtId="165" fontId="0" fillId="7" borderId="1" applyAlignment="1" pivotButton="0" quotePrefix="0" xfId="0">
      <alignment horizontal="right" vertical="center"/>
    </xf>
    <xf numFmtId="0" fontId="0" fillId="15" borderId="1" applyAlignment="1" pivotButton="0" quotePrefix="0" xfId="0">
      <alignment horizontal="left" vertical="center" wrapText="1"/>
    </xf>
    <xf numFmtId="0" fontId="0" fillId="11" borderId="1" applyAlignment="1" pivotButton="0" quotePrefix="0" xfId="0">
      <alignment horizontal="left" vertical="center" wrapText="1"/>
    </xf>
    <xf numFmtId="0" fontId="6" fillId="8"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38" customWidth="1" min="1" max="1"/>
    <col width="110" customWidth="1" min="2" max="2"/>
  </cols>
  <sheetData>
    <row r="1">
      <c r="A1" s="1" t="inlineStr">
        <is>
          <t>Bonus Proposal Workbook - How to Use</t>
        </is>
      </c>
    </row>
    <row r="2" ht="30" customHeight="1">
      <c r="A2" s="2" t="inlineStr"/>
      <c r="B2" s="3" t="inlineStr"/>
    </row>
    <row r="3" ht="30" customHeight="1">
      <c r="A3" s="2" t="inlineStr">
        <is>
          <t>Purpose</t>
        </is>
      </c>
      <c r="B3" s="3" t="inlineStr">
        <is>
          <t>Two clean, separated bonus proposals for ownership decision. Plus a third optional idea.</t>
        </is>
      </c>
    </row>
    <row r="4" ht="30" customHeight="1">
      <c r="A4" s="2" t="inlineStr"/>
      <c r="B4" s="3" t="inlineStr"/>
    </row>
    <row r="5" ht="30" customHeight="1">
      <c r="A5" s="2" t="inlineStr">
        <is>
          <t>Proposal A - Premium-Based</t>
        </is>
      </c>
      <c r="B5" s="3" t="inlineStr">
        <is>
          <t>Bonus is tiered by WRITTEN PREMIUM, then a COLLECTED-% kicker is applied. No coverage add-ons. Clean and self-balancing on premium quality.</t>
        </is>
      </c>
    </row>
    <row r="6" ht="30" customHeight="1">
      <c r="A6" s="2" t="inlineStr">
        <is>
          <t>Proposal B - Coverage-Based</t>
        </is>
      </c>
      <c r="B6" s="3" t="inlineStr">
        <is>
          <t>Bonus is per-policy by COVERAGE TYPE (PIP/PD or PIP+Comp/Coll = $10 NB base; BI+UM liability bundle = +$5). No premium tiers. Same collected kicker. UM cannot be added without BI - so the bundle is paid as one $5 add-on.</t>
        </is>
      </c>
    </row>
    <row r="7" ht="30" customHeight="1">
      <c r="A7" s="2" t="inlineStr">
        <is>
          <t>Proposal C - Persistency (Bonus Idea)</t>
        </is>
      </c>
      <c r="B7" s="3" t="inlineStr">
        <is>
          <t>Flat $8 per NB and $8 per REN (parity), $1 per RWR. Strongest message that rewriting is no longer rewarded. Same collected kicker and safe-net cap.</t>
        </is>
      </c>
    </row>
    <row r="8" ht="30" customHeight="1">
      <c r="A8" s="2" t="inlineStr"/>
      <c r="B8" s="3" t="inlineStr"/>
    </row>
    <row r="9" ht="30" customHeight="1">
      <c r="A9" s="2" t="inlineStr">
        <is>
          <t>Important Constraint</t>
        </is>
      </c>
      <c r="B9" s="3" t="inlineStr">
        <is>
          <t>Do NOT mix Proposal A and Proposal B. They are separate models. Coverage bonuses do not exist in A. Premium tiers do not exist in B.</t>
        </is>
      </c>
    </row>
    <row r="10" ht="30" customHeight="1">
      <c r="A10" s="2" t="inlineStr"/>
      <c r="B10" s="3" t="inlineStr"/>
    </row>
    <row r="11" ht="30" customHeight="1">
      <c r="A11" s="2" t="inlineStr">
        <is>
          <t>Why Renewals Now Pay Separately</t>
        </is>
      </c>
      <c r="B11" s="3" t="inlineStr">
        <is>
          <t>The current plan counts NB and RWR together toward a single threshold and pays nothing for renewals. That pushes agents to REWRITE rather than RENEW, which costs the customer time and the agency loyalty/persistency. The new plans pay renewals separately and keep rewrites flat at $2 so the math no longer rewards churning the book.</t>
        </is>
      </c>
    </row>
    <row r="12" ht="30" customHeight="1">
      <c r="A12" s="2" t="inlineStr"/>
      <c r="B12" s="3" t="inlineStr"/>
    </row>
    <row r="13" ht="30" customHeight="1">
      <c r="A13" s="2" t="inlineStr">
        <is>
          <t>Why the 50% Swap Examples</t>
        </is>
      </c>
      <c r="B13" s="3" t="inlineStr">
        <is>
          <t>Today the agents are mostly rewriting. To prove that the new plan REWARDS the shift to renewals, every agent example is also run with 50% of their rewrites converted into renewals (same premium, same collected). That is the realistic mid-term target.</t>
        </is>
      </c>
    </row>
    <row r="14" ht="30" customHeight="1">
      <c r="A14" s="2" t="inlineStr"/>
      <c r="B14" s="3" t="inlineStr"/>
    </row>
    <row r="15" ht="30" customHeight="1">
      <c r="A15" s="2" t="inlineStr">
        <is>
          <t>Profitability Protection (ALL proposals)</t>
        </is>
      </c>
      <c r="B15" s="3" t="inlineStr">
        <is>
          <t>Bonus PAID = the calculated TARGET (no automatic hard cap). Safe net = collected commission x (1 - 0.175 royalty) x (1 - 0.40 overhead). Ownership REVIEWS any month where target exceeds 40% of safe net (soft flag). Current plan pays ~57% of safe net - all three proposals are cheaper than that.</t>
        </is>
      </c>
    </row>
    <row r="16" ht="30" customHeight="1">
      <c r="A16" s="2" t="inlineStr">
        <is>
          <t>Chargeback (ALL proposals)</t>
        </is>
      </c>
      <c r="B16" s="3" t="inlineStr">
        <is>
          <t>100% of the paid bonus is reversed if the policy cancels or rewrites within 90 days of effective date. THIS is the primary profit protection.</t>
        </is>
      </c>
    </row>
    <row r="17" ht="30" customHeight="1">
      <c r="A17" s="2" t="inlineStr"/>
      <c r="B17" s="3" t="inlineStr"/>
    </row>
    <row r="18" ht="30" customHeight="1">
      <c r="A18" s="2" t="inlineStr">
        <is>
          <t>Minimum Requirement (NEW)</t>
        </is>
      </c>
      <c r="B18" s="3" t="inlineStr">
        <is>
          <t>Bonus is GATED by monthly premium: NB premium &gt;= $50,000 AND REN premium &gt;= $50,000. Pass the NB gate to earn NB bonus. Pass the REN gate to earn REN bonus. Pass BOTH to earn the RWR bonus (RWR has no own minimum). This replaces today's 35-policy NB+RWR floor and points agents at the renewal book.</t>
        </is>
      </c>
    </row>
    <row r="19" ht="30" customHeight="1">
      <c r="A19" s="2" t="inlineStr"/>
      <c r="B19" s="3" t="inlineStr"/>
    </row>
    <row r="20" ht="30" customHeight="1">
      <c r="A20" s="2" t="inlineStr">
        <is>
          <t>Sheet Map</t>
        </is>
      </c>
      <c r="B20" s="3" t="inlineStr"/>
    </row>
    <row r="21" ht="30" customHeight="1">
      <c r="A21" s="2" t="inlineStr">
        <is>
          <t xml:space="preserve">  1. Executive Summary</t>
        </is>
      </c>
      <c r="B21" s="3" t="inlineStr">
        <is>
          <t>Bottom-line comparison: Current vs A vs B vs C for all 6 agents across 4 months. Real + 50% swap. Now shows both no-min and with-min totals.</t>
        </is>
      </c>
    </row>
    <row r="22" ht="30" customHeight="1">
      <c r="A22" s="2" t="inlineStr">
        <is>
          <t xml:space="preserve">  2. Safe Net Explained</t>
        </is>
      </c>
      <c r="B22" s="3" t="inlineStr">
        <is>
          <t>PLAIN-LANGUAGE walk-through of what safe net is, with single-policy and full-month worked numbers.</t>
        </is>
      </c>
    </row>
    <row r="23" ht="30" customHeight="1">
      <c r="A23" s="2" t="inlineStr">
        <is>
          <t xml:space="preserve">  3. Minimum Requirements</t>
        </is>
      </c>
      <c r="B23" s="3" t="inlineStr">
        <is>
          <t>How the $50k/$50k gate works, pass/fail per agent-month, plus $25k/$35k/$75k sensitivity.</t>
        </is>
      </c>
    </row>
    <row r="24" ht="30" customHeight="1">
      <c r="A24" s="2" t="inlineStr">
        <is>
          <t xml:space="preserve">  4. Previous vs New Detailed</t>
        </is>
      </c>
      <c r="B24" s="3" t="inlineStr">
        <is>
          <t>Agent-by-agent dollar comparison: today vs no-min vs with-min, by month.</t>
        </is>
      </c>
    </row>
    <row r="25" ht="30" customHeight="1">
      <c r="A25" s="2" t="inlineStr">
        <is>
          <t xml:space="preserve">  5. Rules Side by Side</t>
        </is>
      </c>
      <c r="B25" s="3" t="inlineStr">
        <is>
          <t>One-row-per-rule comparison of all four plans.</t>
        </is>
      </c>
    </row>
    <row r="26" ht="30" customHeight="1">
      <c r="A26" s="2" t="inlineStr">
        <is>
          <t xml:space="preserve">  6. Proposal A Rules</t>
        </is>
      </c>
      <c r="B26" s="3" t="inlineStr">
        <is>
          <t>Full payout tables for the PREMIUM-based plan.</t>
        </is>
      </c>
    </row>
    <row r="27" ht="30" customHeight="1">
      <c r="A27" s="2" t="inlineStr">
        <is>
          <t xml:space="preserve">  7. Proposal B Rules</t>
        </is>
      </c>
      <c r="B27" s="3" t="inlineStr">
        <is>
          <t>Full payout tables for the COVERAGE-based plan.</t>
        </is>
      </c>
    </row>
    <row r="28" ht="30" customHeight="1">
      <c r="A28" s="2" t="inlineStr">
        <is>
          <t xml:space="preserve">  8. Proposal C Rules</t>
        </is>
      </c>
      <c r="B28" s="3" t="inlineStr">
        <is>
          <t>Bonus idea: persistency-focused flat plan.</t>
        </is>
      </c>
    </row>
    <row r="29" ht="30" customHeight="1">
      <c r="A29" s="2" t="inlineStr">
        <is>
          <t xml:space="preserve">  9. Worked Examples</t>
        </is>
      </c>
      <c r="B29" s="3" t="inlineStr">
        <is>
          <t>Hand-built single-policy walk-throughs for every plan.</t>
        </is>
      </c>
    </row>
    <row r="30" ht="30" customHeight="1">
      <c r="A30" s="2" t="inlineStr">
        <is>
          <t xml:space="preserve">  10. Agent Examples - Real</t>
        </is>
      </c>
      <c r="B30" s="3" t="inlineStr">
        <is>
          <t>Month-by-month bonus for the 6 agents on actual Jan-Apr 2026 data, both proposals.</t>
        </is>
      </c>
    </row>
    <row r="31" ht="30" customHeight="1">
      <c r="A31" s="2" t="inlineStr">
        <is>
          <t xml:space="preserve">  11. Agent Examples - 50% Swap</t>
        </is>
      </c>
      <c r="B31" s="3" t="inlineStr">
        <is>
          <t>Same 6 agents, 50% of RWR moved to REN. Shows future-state earnings.</t>
        </is>
      </c>
    </row>
    <row r="32" ht="30" customHeight="1">
      <c r="A32" s="2" t="inlineStr">
        <is>
          <t xml:space="preserve">  12. Real vs Swap Comparison</t>
        </is>
      </c>
      <c r="B32" s="3" t="inlineStr">
        <is>
          <t>Side-by-side 4-month total delta showing the renewal-shift upside per agent.</t>
        </is>
      </c>
    </row>
    <row r="33" ht="30" customHeight="1">
      <c r="A33" s="2" t="inlineStr">
        <is>
          <t xml:space="preserve">  13. Coverage Bundle Logic</t>
        </is>
      </c>
      <c r="B33" s="3" t="inlineStr">
        <is>
          <t>Why BI+UM is bundled and why BI alone does not qualify.</t>
        </is>
      </c>
    </row>
    <row r="34" ht="30" customHeight="1">
      <c r="A34" s="2" t="inlineStr">
        <is>
          <t xml:space="preserve">  14. Collected Kicker Logic</t>
        </is>
      </c>
      <c r="B34" s="3" t="inlineStr">
        <is>
          <t>How the collected % multiplier works.</t>
        </is>
      </c>
    </row>
    <row r="35" ht="30" customHeight="1">
      <c r="A35" s="2" t="inlineStr">
        <is>
          <t xml:space="preserve">  15. Profitability Cap</t>
        </is>
      </c>
      <c r="B35" s="3" t="inlineStr">
        <is>
          <t>How the safe-net review threshold protects ownership.</t>
        </is>
      </c>
    </row>
    <row r="36" ht="30" customHeight="1">
      <c r="A36" s="2" t="inlineStr">
        <is>
          <t xml:space="preserve">  16. Chargeback Process</t>
        </is>
      </c>
      <c r="B36" s="3" t="inlineStr">
        <is>
          <t>90-day cancellation/rewrite reversal procedure.</t>
        </is>
      </c>
    </row>
    <row r="37" ht="30" customHeight="1">
      <c r="A37" s="2" t="inlineStr">
        <is>
          <t xml:space="preserve">  17. Agent Quick Reference</t>
        </is>
      </c>
      <c r="B37" s="3" t="inlineStr">
        <is>
          <t>One-page printable for the agent floor.</t>
        </is>
      </c>
    </row>
    <row r="38" ht="30" customHeight="1">
      <c r="A38" s="2" t="inlineStr">
        <is>
          <t xml:space="preserve">  18. Manual Tracker Template</t>
        </is>
      </c>
      <c r="B38" s="3" t="inlineStr">
        <is>
          <t>Monthly template for verified bonus tracking.</t>
        </is>
      </c>
    </row>
    <row r="39" ht="30" customHeight="1">
      <c r="A39" s="2" t="inlineStr">
        <is>
          <t xml:space="preserve">  19. Assumptions</t>
        </is>
      </c>
      <c r="B39"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7" customWidth="1" min="3" max="3"/>
    <col width="7" customWidth="1" min="4" max="4"/>
    <col width="7" customWidth="1" min="5" max="5"/>
    <col width="11" customWidth="1" min="6" max="6"/>
    <col width="11" customWidth="1" min="7" max="7"/>
    <col width="12" customWidth="1" min="8" max="8"/>
    <col width="11" customWidth="1" min="9" max="9"/>
    <col width="12" customWidth="1" min="10" max="10"/>
    <col width="11" customWidth="1" min="11" max="11"/>
    <col width="12" customWidth="1" min="12" max="12"/>
    <col width="14" customWidth="1" min="13" max="13"/>
  </cols>
  <sheetData>
    <row r="1">
      <c r="A1" s="1" t="inlineStr">
        <is>
          <t>Executive Summary - Current vs Proposal A vs Proposal B vs Proposal C</t>
        </is>
      </c>
    </row>
    <row r="2">
      <c r="A2" s="4" t="inlineStr">
        <is>
          <t>Six agents, four months. Each proposal is shown two ways: WITHOUT minimums (pure target) and WITH the proposed minimums (NB premium &gt;= $50,000/mo AND REN premium &gt;= $50,000/mo; RWR paid only when BOTH gates pass).</t>
        </is>
      </c>
    </row>
    <row r="4">
      <c r="A4" s="5" t="inlineStr">
        <is>
          <t>HEADLINE - 4-MONTH TOTALS (6 agents)</t>
        </is>
      </c>
    </row>
    <row r="5">
      <c r="A5" s="6" t="inlineStr">
        <is>
          <t>Plan</t>
        </is>
      </c>
      <c r="B5" s="6" t="inlineStr">
        <is>
          <t>REAL (today)</t>
        </is>
      </c>
      <c r="C5" s="6" t="inlineStr">
        <is>
          <t>SWAP (50% RWR→REN)</t>
        </is>
      </c>
      <c r="D5" s="6" t="inlineStr">
        <is>
          <t>Swap vs Real $</t>
        </is>
      </c>
      <c r="E5" s="6" t="inlineStr">
        <is>
          <t>Swap vs Real %</t>
        </is>
      </c>
      <c r="F5" s="6" t="inlineStr">
        <is>
          <t>Direction</t>
        </is>
      </c>
    </row>
    <row r="6" ht="24" customHeight="1">
      <c r="A6" s="7" t="inlineStr">
        <is>
          <t>Current plan (today)</t>
        </is>
      </c>
      <c r="B6" s="8" t="n">
        <v>12220</v>
      </c>
      <c r="C6" s="8" t="n">
        <v>7110</v>
      </c>
      <c r="D6" s="8" t="n">
        <v>-5110</v>
      </c>
      <c r="E6" s="9" t="inlineStr">
        <is>
          <t>-41.8%</t>
        </is>
      </c>
      <c r="F6" s="9" t="inlineStr">
        <is>
          <t>DROPS - the current plan punishes the behavior change</t>
        </is>
      </c>
    </row>
    <row r="7" ht="24" customHeight="1">
      <c r="A7" s="10" t="inlineStr">
        <is>
          <t>Proposal A - no minimum</t>
        </is>
      </c>
      <c r="B7" s="11" t="n">
        <v>6219.15</v>
      </c>
      <c r="C7" s="11" t="n">
        <v>7473.75</v>
      </c>
      <c r="D7" s="11" t="n">
        <v>1254.6</v>
      </c>
      <c r="E7" s="12" t="inlineStr">
        <is>
          <t>+20.2%</t>
        </is>
      </c>
      <c r="F7" s="12" t="inlineStr">
        <is>
          <t>GROWS - new plan rewards renewals</t>
        </is>
      </c>
    </row>
    <row r="8" ht="24" customHeight="1">
      <c r="A8" s="10" t="inlineStr">
        <is>
          <t>Proposal A - WITH $50k/$50k MIN</t>
        </is>
      </c>
      <c r="B8" s="11" t="n">
        <v>649</v>
      </c>
      <c r="C8" s="11" t="n">
        <v>1313.4</v>
      </c>
      <c r="D8" s="11" t="n">
        <v>664.4000000000001</v>
      </c>
      <c r="E8" s="12" t="inlineStr">
        <is>
          <t>+102.4%</t>
        </is>
      </c>
      <c r="F8" s="12" t="inlineStr">
        <is>
          <t>GROWS more than 2x - swap unlocks gates</t>
        </is>
      </c>
    </row>
    <row r="9" ht="24" customHeight="1">
      <c r="A9" s="13" t="inlineStr">
        <is>
          <t>Proposal B - no minimum</t>
        </is>
      </c>
      <c r="B9" s="14" t="n">
        <v>9459.314999999997</v>
      </c>
      <c r="C9" s="14" t="n">
        <v>11616.39</v>
      </c>
      <c r="D9" s="14" t="n">
        <v>2157.075000000006</v>
      </c>
      <c r="E9" s="15" t="inlineStr">
        <is>
          <t>+22.8%</t>
        </is>
      </c>
      <c r="F9" s="15" t="inlineStr">
        <is>
          <t>GROWS - coverage plan</t>
        </is>
      </c>
    </row>
    <row r="10" ht="24" customHeight="1">
      <c r="A10" s="13" t="inlineStr">
        <is>
          <t>Proposal B - WITH $50k/$50k MIN</t>
        </is>
      </c>
      <c r="B10" s="14" t="n">
        <v>956.45</v>
      </c>
      <c r="C10" s="14" t="n">
        <v>1807.63</v>
      </c>
      <c r="D10" s="14" t="n">
        <v>851.1800000000001</v>
      </c>
      <c r="E10" s="15" t="inlineStr">
        <is>
          <t>+89.0%</t>
        </is>
      </c>
      <c r="F10" s="15" t="inlineStr">
        <is>
          <t>GROWS - swap unlocks gates</t>
        </is>
      </c>
    </row>
    <row r="11" ht="24" customHeight="1">
      <c r="A11" s="16" t="inlineStr">
        <is>
          <t>Proposal C - no minimum</t>
        </is>
      </c>
      <c r="B11" s="17" t="n">
        <v>6480.95</v>
      </c>
      <c r="C11" s="17" t="n">
        <v>9564.9</v>
      </c>
      <c r="D11" s="17" t="n">
        <v>3083.95</v>
      </c>
      <c r="E11" s="18" t="inlineStr">
        <is>
          <t>+47.6%</t>
        </is>
      </c>
      <c r="F11" s="18" t="inlineStr">
        <is>
          <t>GROWS - REN parity</t>
        </is>
      </c>
    </row>
    <row r="12" ht="24" customHeight="1">
      <c r="A12" s="16" t="inlineStr">
        <is>
          <t>Proposal C - WITH $50k/$50k MIN</t>
        </is>
      </c>
      <c r="B12" s="17" t="n">
        <v>651.2</v>
      </c>
      <c r="C12" s="17" t="n">
        <v>1587.3</v>
      </c>
      <c r="D12" s="17" t="n">
        <v>936.1000000000001</v>
      </c>
      <c r="E12" s="18" t="inlineStr">
        <is>
          <t>+143.8%</t>
        </is>
      </c>
      <c r="F12" s="18" t="inlineStr">
        <is>
          <t>GROWS</t>
        </is>
      </c>
    </row>
    <row r="14" ht="38" customHeight="1">
      <c r="A14" s="19"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6">
      <c r="A16" s="5" t="inlineStr">
        <is>
          <t>SCENARIO 1: REAL DATA (Jan-Apr 2026)</t>
        </is>
      </c>
    </row>
    <row r="17">
      <c r="A17" s="6" t="inlineStr">
        <is>
          <t>Month</t>
        </is>
      </c>
      <c r="B17" s="6" t="inlineStr">
        <is>
          <t>Agent</t>
        </is>
      </c>
      <c r="C17" s="6" t="inlineStr">
        <is>
          <t>NB</t>
        </is>
      </c>
      <c r="D17" s="6" t="inlineStr">
        <is>
          <t>RWR</t>
        </is>
      </c>
      <c r="E17" s="6" t="inlineStr">
        <is>
          <t>REN</t>
        </is>
      </c>
      <c r="F17" s="6" t="inlineStr">
        <is>
          <t>Current</t>
        </is>
      </c>
      <c r="G17" s="6" t="inlineStr">
        <is>
          <t>A no-min</t>
        </is>
      </c>
      <c r="H17" s="6" t="inlineStr">
        <is>
          <t>A with min</t>
        </is>
      </c>
      <c r="I17" s="6" t="inlineStr">
        <is>
          <t>B no-min</t>
        </is>
      </c>
      <c r="J17" s="6" t="inlineStr">
        <is>
          <t>B with min</t>
        </is>
      </c>
      <c r="K17" s="6" t="inlineStr">
        <is>
          <t>C no-min</t>
        </is>
      </c>
      <c r="L17" s="6" t="inlineStr">
        <is>
          <t>C with min</t>
        </is>
      </c>
      <c r="M17" s="6" t="inlineStr">
        <is>
          <t>A-min vs Current</t>
        </is>
      </c>
    </row>
    <row r="18">
      <c r="A18" s="20" t="inlineStr">
        <is>
          <t>January</t>
        </is>
      </c>
      <c r="B18" s="20" t="inlineStr">
        <is>
          <t>Abel Guaina</t>
        </is>
      </c>
      <c r="C18" s="21" t="n">
        <v>25</v>
      </c>
      <c r="D18" s="21" t="n">
        <v>17</v>
      </c>
      <c r="E18" s="21" t="n">
        <v>9</v>
      </c>
      <c r="F18" s="22" t="n">
        <v>350</v>
      </c>
      <c r="G18" s="11" t="n">
        <v>252</v>
      </c>
      <c r="H18" s="23" t="n">
        <v>0</v>
      </c>
      <c r="I18" s="14" t="n">
        <v>399.46</v>
      </c>
      <c r="J18" s="24" t="n">
        <v>0</v>
      </c>
      <c r="K18" s="17" t="n">
        <v>297.9</v>
      </c>
      <c r="L18" s="25" t="n">
        <v>0</v>
      </c>
      <c r="M18" s="22" t="n">
        <v>-350</v>
      </c>
    </row>
    <row r="19">
      <c r="A19" s="20" t="inlineStr">
        <is>
          <t>January</t>
        </is>
      </c>
      <c r="B19" s="20" t="inlineStr">
        <is>
          <t>Dialinerys Dieguez</t>
        </is>
      </c>
      <c r="C19" s="21" t="n">
        <v>23</v>
      </c>
      <c r="D19" s="21" t="n">
        <v>48</v>
      </c>
      <c r="E19" s="21" t="n">
        <v>11</v>
      </c>
      <c r="F19" s="22" t="n">
        <v>660</v>
      </c>
      <c r="G19" s="11" t="n">
        <v>317.2</v>
      </c>
      <c r="H19" s="23" t="n">
        <v>0</v>
      </c>
      <c r="I19" s="14" t="n">
        <v>463.135</v>
      </c>
      <c r="J19" s="24" t="n">
        <v>0</v>
      </c>
      <c r="K19" s="17" t="n">
        <v>338</v>
      </c>
      <c r="L19" s="25" t="n">
        <v>0</v>
      </c>
      <c r="M19" s="22" t="n">
        <v>-660</v>
      </c>
    </row>
    <row r="20">
      <c r="A20" s="20" t="inlineStr">
        <is>
          <t>January</t>
        </is>
      </c>
      <c r="B20" s="20" t="inlineStr">
        <is>
          <t>Melissa Hernandez</t>
        </is>
      </c>
      <c r="C20" s="21" t="n">
        <v>31</v>
      </c>
      <c r="D20" s="21" t="n">
        <v>48</v>
      </c>
      <c r="E20" s="21" t="n">
        <v>0</v>
      </c>
      <c r="F20" s="22" t="n">
        <v>740</v>
      </c>
      <c r="G20" s="11" t="n">
        <v>276.1</v>
      </c>
      <c r="H20" s="23" t="n">
        <v>0</v>
      </c>
      <c r="I20" s="14" t="n">
        <v>506.275</v>
      </c>
      <c r="J20" s="24" t="n">
        <v>0</v>
      </c>
      <c r="K20" s="17" t="n">
        <v>325.6</v>
      </c>
      <c r="L20" s="25" t="n">
        <v>0</v>
      </c>
      <c r="M20" s="22" t="n">
        <v>-740</v>
      </c>
    </row>
    <row r="21">
      <c r="A21" s="20" t="inlineStr">
        <is>
          <t>January</t>
        </is>
      </c>
      <c r="B21" s="20" t="inlineStr">
        <is>
          <t>Flavia Parra</t>
        </is>
      </c>
      <c r="C21" s="21" t="n">
        <v>19</v>
      </c>
      <c r="D21" s="21" t="n">
        <v>35</v>
      </c>
      <c r="E21" s="21" t="n">
        <v>1</v>
      </c>
      <c r="F21" s="22" t="n">
        <v>490</v>
      </c>
      <c r="G21" s="11" t="n">
        <v>228.8</v>
      </c>
      <c r="H21" s="23" t="n">
        <v>0</v>
      </c>
      <c r="I21" s="14" t="n">
        <v>330.165</v>
      </c>
      <c r="J21" s="24" t="n">
        <v>0</v>
      </c>
      <c r="K21" s="17" t="n">
        <v>214.5</v>
      </c>
      <c r="L21" s="25" t="n">
        <v>0</v>
      </c>
      <c r="M21" s="22" t="n">
        <v>-490</v>
      </c>
    </row>
    <row r="22">
      <c r="A22" s="20" t="inlineStr">
        <is>
          <t>January</t>
        </is>
      </c>
      <c r="B22" s="20" t="inlineStr">
        <is>
          <t>Thalia Rojas</t>
        </is>
      </c>
      <c r="C22" s="21" t="n">
        <v>10</v>
      </c>
      <c r="D22" s="21" t="n">
        <v>28</v>
      </c>
      <c r="E22" s="21" t="n">
        <v>4</v>
      </c>
      <c r="F22" s="22" t="n">
        <v>350</v>
      </c>
      <c r="G22" s="11" t="n">
        <v>149.2</v>
      </c>
      <c r="H22" s="23" t="n">
        <v>0</v>
      </c>
      <c r="I22" s="14" t="n">
        <v>209.46</v>
      </c>
      <c r="J22" s="24" t="n">
        <v>0</v>
      </c>
      <c r="K22" s="17" t="n">
        <v>146</v>
      </c>
      <c r="L22" s="25" t="n">
        <v>0</v>
      </c>
      <c r="M22" s="22" t="n">
        <v>-350</v>
      </c>
    </row>
    <row r="23">
      <c r="A23" s="20" t="inlineStr">
        <is>
          <t>January</t>
        </is>
      </c>
      <c r="B23" s="20" t="inlineStr">
        <is>
          <t>Monica Valdes</t>
        </is>
      </c>
      <c r="C23" s="21" t="n">
        <v>23</v>
      </c>
      <c r="D23" s="21" t="n">
        <v>37</v>
      </c>
      <c r="E23" s="21" t="n">
        <v>6</v>
      </c>
      <c r="F23" s="22" t="n">
        <v>550</v>
      </c>
      <c r="G23" s="11" t="n">
        <v>284.9</v>
      </c>
      <c r="H23" s="23" t="n">
        <v>0</v>
      </c>
      <c r="I23" s="14" t="n">
        <v>424.215</v>
      </c>
      <c r="J23" s="24" t="n">
        <v>0</v>
      </c>
      <c r="K23" s="17" t="n">
        <v>295.9</v>
      </c>
      <c r="L23" s="25" t="n">
        <v>0</v>
      </c>
      <c r="M23" s="22" t="n">
        <v>-550</v>
      </c>
    </row>
    <row r="24">
      <c r="A24" s="20" t="inlineStr">
        <is>
          <t>February</t>
        </is>
      </c>
      <c r="B24" s="20" t="inlineStr">
        <is>
          <t>Abel Guaina</t>
        </is>
      </c>
      <c r="C24" s="21" t="n">
        <v>13</v>
      </c>
      <c r="D24" s="21" t="n">
        <v>19</v>
      </c>
      <c r="E24" s="21" t="n">
        <v>7</v>
      </c>
      <c r="F24" s="22" t="n">
        <v>250</v>
      </c>
      <c r="G24" s="11" t="n">
        <v>185.8</v>
      </c>
      <c r="H24" s="23" t="n">
        <v>0</v>
      </c>
      <c r="I24" s="14" t="n">
        <v>243.88</v>
      </c>
      <c r="J24" s="24" t="n">
        <v>0</v>
      </c>
      <c r="K24" s="17" t="n">
        <v>184.6</v>
      </c>
      <c r="L24" s="25" t="n">
        <v>0</v>
      </c>
      <c r="M24" s="22" t="n">
        <v>-250</v>
      </c>
    </row>
    <row r="25">
      <c r="A25" s="20" t="inlineStr">
        <is>
          <t>February</t>
        </is>
      </c>
      <c r="B25" s="20" t="inlineStr">
        <is>
          <t>Dialinerys Dieguez</t>
        </is>
      </c>
      <c r="C25" s="21" t="n">
        <v>23</v>
      </c>
      <c r="D25" s="21" t="n">
        <v>56</v>
      </c>
      <c r="E25" s="21" t="n">
        <v>9</v>
      </c>
      <c r="F25" s="22" t="n">
        <v>740</v>
      </c>
      <c r="G25" s="11" t="n">
        <v>349.8000000000001</v>
      </c>
      <c r="H25" s="23" t="n">
        <v>0</v>
      </c>
      <c r="I25" s="14" t="n">
        <v>488.7850000000001</v>
      </c>
      <c r="J25" s="24" t="n">
        <v>0</v>
      </c>
      <c r="K25" s="17" t="n">
        <v>343.2</v>
      </c>
      <c r="L25" s="25" t="n">
        <v>0</v>
      </c>
      <c r="M25" s="22" t="n">
        <v>-740</v>
      </c>
    </row>
    <row r="26">
      <c r="A26" s="20" t="inlineStr">
        <is>
          <t>February</t>
        </is>
      </c>
      <c r="B26" s="20" t="inlineStr">
        <is>
          <t>Melissa Hernandez</t>
        </is>
      </c>
      <c r="C26" s="21" t="n">
        <v>13</v>
      </c>
      <c r="D26" s="21" t="n">
        <v>37</v>
      </c>
      <c r="E26" s="21" t="n">
        <v>1</v>
      </c>
      <c r="F26" s="22" t="n">
        <v>450</v>
      </c>
      <c r="G26" s="11" t="n">
        <v>152.75</v>
      </c>
      <c r="H26" s="23" t="n">
        <v>0</v>
      </c>
      <c r="I26" s="14" t="n">
        <v>256.5625</v>
      </c>
      <c r="J26" s="24" t="n">
        <v>0</v>
      </c>
      <c r="K26" s="17" t="n">
        <v>164.6</v>
      </c>
      <c r="L26" s="25" t="n">
        <v>0</v>
      </c>
      <c r="M26" s="22" t="n">
        <v>-450</v>
      </c>
    </row>
    <row r="27">
      <c r="A27" s="20" t="inlineStr">
        <is>
          <t>February</t>
        </is>
      </c>
      <c r="B27" s="20" t="inlineStr">
        <is>
          <t>Flavia Parra</t>
        </is>
      </c>
      <c r="C27" s="21" t="n">
        <v>23</v>
      </c>
      <c r="D27" s="21" t="n">
        <v>42</v>
      </c>
      <c r="E27" s="21" t="n">
        <v>2</v>
      </c>
      <c r="F27" s="22" t="n">
        <v>600</v>
      </c>
      <c r="G27" s="11" t="n">
        <v>231.9</v>
      </c>
      <c r="H27" s="23" t="n">
        <v>0</v>
      </c>
      <c r="I27" s="14" t="n">
        <v>409.0550000000001</v>
      </c>
      <c r="J27" s="24" t="n">
        <v>0</v>
      </c>
      <c r="K27" s="17" t="n">
        <v>268.3</v>
      </c>
      <c r="L27" s="25" t="n">
        <v>0</v>
      </c>
      <c r="M27" s="22" t="n">
        <v>-600</v>
      </c>
    </row>
    <row r="28">
      <c r="A28" s="20" t="inlineStr">
        <is>
          <t>February</t>
        </is>
      </c>
      <c r="B28" s="20" t="inlineStr">
        <is>
          <t>Thalia Rojas</t>
        </is>
      </c>
      <c r="C28" s="21" t="n">
        <v>14</v>
      </c>
      <c r="D28" s="21" t="n">
        <v>24</v>
      </c>
      <c r="E28" s="21" t="n">
        <v>5</v>
      </c>
      <c r="F28" s="22" t="n">
        <v>350</v>
      </c>
      <c r="G28" s="11" t="n">
        <v>189.35</v>
      </c>
      <c r="H28" s="23" t="n">
        <v>0</v>
      </c>
      <c r="I28" s="14" t="n">
        <v>273.425</v>
      </c>
      <c r="J28" s="24" t="n">
        <v>0</v>
      </c>
      <c r="K28" s="17" t="n">
        <v>195.6</v>
      </c>
      <c r="L28" s="25" t="n">
        <v>0</v>
      </c>
      <c r="M28" s="22" t="n">
        <v>-350</v>
      </c>
    </row>
    <row r="29">
      <c r="A29" s="20" t="inlineStr">
        <is>
          <t>February</t>
        </is>
      </c>
      <c r="B29" s="20" t="inlineStr">
        <is>
          <t>Monica Valdes</t>
        </is>
      </c>
      <c r="C29" s="21" t="n">
        <v>21</v>
      </c>
      <c r="D29" s="21" t="n">
        <v>29</v>
      </c>
      <c r="E29" s="21" t="n">
        <v>2</v>
      </c>
      <c r="F29" s="22" t="n">
        <v>450</v>
      </c>
      <c r="G29" s="11" t="n">
        <v>235.5</v>
      </c>
      <c r="H29" s="23" t="n">
        <v>0</v>
      </c>
      <c r="I29" s="14" t="n">
        <v>349.025</v>
      </c>
      <c r="J29" s="24" t="n">
        <v>0</v>
      </c>
      <c r="K29" s="17" t="n">
        <v>232.7</v>
      </c>
      <c r="L29" s="25" t="n">
        <v>0</v>
      </c>
      <c r="M29" s="22" t="n">
        <v>-450</v>
      </c>
    </row>
    <row r="30">
      <c r="A30" s="20" t="inlineStr">
        <is>
          <t>March</t>
        </is>
      </c>
      <c r="B30" s="20" t="inlineStr">
        <is>
          <t>Abel Guaina</t>
        </is>
      </c>
      <c r="C30" s="21" t="n">
        <v>30</v>
      </c>
      <c r="D30" s="21" t="n">
        <v>17</v>
      </c>
      <c r="E30" s="21" t="n">
        <v>5</v>
      </c>
      <c r="F30" s="22" t="n">
        <v>350</v>
      </c>
      <c r="G30" s="11" t="n">
        <v>270.4</v>
      </c>
      <c r="H30" s="23" t="n">
        <v>0</v>
      </c>
      <c r="I30" s="14" t="n">
        <v>429.575</v>
      </c>
      <c r="J30" s="24" t="n">
        <v>0</v>
      </c>
      <c r="K30" s="17" t="n">
        <v>304.7</v>
      </c>
      <c r="L30" s="25" t="n">
        <v>0</v>
      </c>
      <c r="M30" s="22" t="n">
        <v>-350</v>
      </c>
    </row>
    <row r="31">
      <c r="A31" s="20" t="inlineStr">
        <is>
          <t>March</t>
        </is>
      </c>
      <c r="B31" s="20" t="inlineStr">
        <is>
          <t>Dialinerys Dieguez</t>
        </is>
      </c>
      <c r="C31" s="21" t="n">
        <v>38</v>
      </c>
      <c r="D31" s="21" t="n">
        <v>69</v>
      </c>
      <c r="E31" s="21" t="n">
        <v>7</v>
      </c>
      <c r="F31" s="22" t="n">
        <v>1020</v>
      </c>
      <c r="G31" s="11" t="n">
        <v>478.0000000000001</v>
      </c>
      <c r="H31" s="23" t="n">
        <v>292.6</v>
      </c>
      <c r="I31" s="14" t="n">
        <v>700.9100000000001</v>
      </c>
      <c r="J31" s="24" t="n">
        <v>491.15</v>
      </c>
      <c r="K31" s="17" t="n">
        <v>477.5</v>
      </c>
      <c r="L31" s="25" t="n">
        <v>334.4</v>
      </c>
      <c r="M31" s="22" t="n">
        <v>-727.4</v>
      </c>
    </row>
    <row r="32">
      <c r="A32" s="20" t="inlineStr">
        <is>
          <t>March</t>
        </is>
      </c>
      <c r="B32" s="20" t="inlineStr">
        <is>
          <t>Melissa Hernandez</t>
        </is>
      </c>
      <c r="C32" s="21" t="n">
        <v>28</v>
      </c>
      <c r="D32" s="21" t="n">
        <v>48</v>
      </c>
      <c r="E32" s="21" t="n">
        <v>1</v>
      </c>
      <c r="F32" s="22" t="n">
        <v>710</v>
      </c>
      <c r="G32" s="11" t="n">
        <v>306</v>
      </c>
      <c r="H32" s="23" t="n">
        <v>0</v>
      </c>
      <c r="I32" s="14" t="n">
        <v>442.19</v>
      </c>
      <c r="J32" s="24" t="n">
        <v>0</v>
      </c>
      <c r="K32" s="17" t="n">
        <v>285.6</v>
      </c>
      <c r="L32" s="25" t="n">
        <v>0</v>
      </c>
      <c r="M32" s="22" t="n">
        <v>-710</v>
      </c>
    </row>
    <row r="33">
      <c r="A33" s="20" t="inlineStr">
        <is>
          <t>March</t>
        </is>
      </c>
      <c r="B33" s="20" t="inlineStr">
        <is>
          <t>Flavia Parra</t>
        </is>
      </c>
      <c r="C33" s="21" t="n">
        <v>27</v>
      </c>
      <c r="D33" s="21" t="n">
        <v>27</v>
      </c>
      <c r="E33" s="21" t="n">
        <v>0</v>
      </c>
      <c r="F33" s="22" t="n">
        <v>490</v>
      </c>
      <c r="G33" s="11" t="n">
        <v>217.35</v>
      </c>
      <c r="H33" s="23" t="n">
        <v>0</v>
      </c>
      <c r="I33" s="14" t="n">
        <v>426.9375</v>
      </c>
      <c r="J33" s="24" t="n">
        <v>0</v>
      </c>
      <c r="K33" s="17" t="n">
        <v>279.45</v>
      </c>
      <c r="L33" s="25" t="n">
        <v>0</v>
      </c>
      <c r="M33" s="22" t="n">
        <v>-490</v>
      </c>
    </row>
    <row r="34">
      <c r="A34" s="20" t="inlineStr">
        <is>
          <t>March</t>
        </is>
      </c>
      <c r="B34" s="20" t="inlineStr">
        <is>
          <t>Thalia Rojas</t>
        </is>
      </c>
      <c r="C34" s="21" t="n">
        <v>19</v>
      </c>
      <c r="D34" s="21" t="n">
        <v>19</v>
      </c>
      <c r="E34" s="21" t="n">
        <v>6</v>
      </c>
      <c r="F34" s="22" t="n">
        <v>350</v>
      </c>
      <c r="G34" s="11" t="n">
        <v>178.65</v>
      </c>
      <c r="H34" s="23" t="n">
        <v>0</v>
      </c>
      <c r="I34" s="14" t="n">
        <v>346.1475</v>
      </c>
      <c r="J34" s="24" t="n">
        <v>0</v>
      </c>
      <c r="K34" s="17" t="n">
        <v>250.9</v>
      </c>
      <c r="L34" s="25" t="n">
        <v>0</v>
      </c>
      <c r="M34" s="22" t="n">
        <v>-350</v>
      </c>
    </row>
    <row r="35">
      <c r="A35" s="20" t="inlineStr">
        <is>
          <t>March</t>
        </is>
      </c>
      <c r="B35" s="20" t="inlineStr">
        <is>
          <t>Monica Valdes</t>
        </is>
      </c>
      <c r="C35" s="21" t="n">
        <v>36</v>
      </c>
      <c r="D35" s="21" t="n">
        <v>28</v>
      </c>
      <c r="E35" s="21" t="n">
        <v>0</v>
      </c>
      <c r="F35" s="22" t="n">
        <v>590</v>
      </c>
      <c r="G35" s="11" t="n">
        <v>412.4</v>
      </c>
      <c r="H35" s="23" t="n">
        <v>356.4</v>
      </c>
      <c r="I35" s="14" t="n">
        <v>521.3</v>
      </c>
      <c r="J35" s="24" t="n">
        <v>465.3</v>
      </c>
      <c r="K35" s="17" t="n">
        <v>344.8</v>
      </c>
      <c r="L35" s="25" t="n">
        <v>316.8</v>
      </c>
      <c r="M35" s="22" t="n">
        <v>-233.6</v>
      </c>
    </row>
    <row r="36">
      <c r="A36" s="20" t="inlineStr">
        <is>
          <t>April</t>
        </is>
      </c>
      <c r="B36" s="20" t="inlineStr">
        <is>
          <t>Abel Guaina</t>
        </is>
      </c>
      <c r="C36" s="21" t="n">
        <v>27</v>
      </c>
      <c r="D36" s="21" t="n">
        <v>15</v>
      </c>
      <c r="E36" s="21" t="n">
        <v>13</v>
      </c>
      <c r="F36" s="22" t="n">
        <v>350</v>
      </c>
      <c r="G36" s="11" t="n">
        <v>302.2</v>
      </c>
      <c r="H36" s="23" t="n">
        <v>0</v>
      </c>
      <c r="I36" s="14" t="n">
        <v>486.63</v>
      </c>
      <c r="J36" s="24" t="n">
        <v>0</v>
      </c>
      <c r="K36" s="17" t="n">
        <v>374.45</v>
      </c>
      <c r="L36" s="25" t="n">
        <v>0</v>
      </c>
      <c r="M36" s="22" t="n">
        <v>-350</v>
      </c>
    </row>
    <row r="37">
      <c r="A37" s="20" t="inlineStr">
        <is>
          <t>April</t>
        </is>
      </c>
      <c r="B37" s="20" t="inlineStr">
        <is>
          <t>Dialinerys Dieguez</t>
        </is>
      </c>
      <c r="C37" s="21" t="n">
        <v>33</v>
      </c>
      <c r="D37" s="21" t="n">
        <v>44</v>
      </c>
      <c r="E37" s="21" t="n">
        <v>2</v>
      </c>
      <c r="F37" s="22" t="n">
        <v>720</v>
      </c>
      <c r="G37" s="11" t="n">
        <v>368.5</v>
      </c>
      <c r="H37" s="23" t="n">
        <v>0</v>
      </c>
      <c r="I37" s="14" t="n">
        <v>542.905</v>
      </c>
      <c r="J37" s="24" t="n">
        <v>0</v>
      </c>
      <c r="K37" s="17" t="n">
        <v>358.6</v>
      </c>
      <c r="L37" s="25" t="n">
        <v>0</v>
      </c>
      <c r="M37" s="22" t="n">
        <v>-720</v>
      </c>
    </row>
    <row r="38">
      <c r="A38" s="20" t="inlineStr">
        <is>
          <t>April</t>
        </is>
      </c>
      <c r="B38" s="20" t="inlineStr">
        <is>
          <t>Melissa Hernandez</t>
        </is>
      </c>
      <c r="C38" s="21" t="n">
        <v>15</v>
      </c>
      <c r="D38" s="21" t="n">
        <v>37</v>
      </c>
      <c r="E38" s="21" t="n">
        <v>0</v>
      </c>
      <c r="F38" s="22" t="n">
        <v>470</v>
      </c>
      <c r="G38" s="11" t="n">
        <v>196.9</v>
      </c>
      <c r="H38" s="23" t="n">
        <v>0</v>
      </c>
      <c r="I38" s="14" t="n">
        <v>275.275</v>
      </c>
      <c r="J38" s="24" t="n">
        <v>0</v>
      </c>
      <c r="K38" s="17" t="n">
        <v>172.7</v>
      </c>
      <c r="L38" s="25" t="n">
        <v>0</v>
      </c>
      <c r="M38" s="22" t="n">
        <v>-470</v>
      </c>
    </row>
    <row r="39">
      <c r="A39" s="20" t="inlineStr">
        <is>
          <t>April</t>
        </is>
      </c>
      <c r="B39" s="20" t="inlineStr">
        <is>
          <t>Flavia Parra</t>
        </is>
      </c>
      <c r="C39" s="21" t="n">
        <v>23</v>
      </c>
      <c r="D39" s="21" t="n">
        <v>31</v>
      </c>
      <c r="E39" s="21" t="n">
        <v>1</v>
      </c>
      <c r="F39" s="22" t="n">
        <v>490</v>
      </c>
      <c r="G39" s="11" t="n">
        <v>253.4</v>
      </c>
      <c r="H39" s="23" t="n">
        <v>0</v>
      </c>
      <c r="I39" s="14" t="n">
        <v>377.2</v>
      </c>
      <c r="J39" s="24" t="n">
        <v>0</v>
      </c>
      <c r="K39" s="17" t="n">
        <v>248.05</v>
      </c>
      <c r="L39" s="25" t="n">
        <v>0</v>
      </c>
      <c r="M39" s="22" t="n">
        <v>-490</v>
      </c>
    </row>
    <row r="40">
      <c r="A40" s="20" t="inlineStr">
        <is>
          <t>April</t>
        </is>
      </c>
      <c r="B40" s="20" t="inlineStr">
        <is>
          <t>Thalia Rojas</t>
        </is>
      </c>
      <c r="C40" s="21" t="n">
        <v>9</v>
      </c>
      <c r="D40" s="21" t="n">
        <v>29</v>
      </c>
      <c r="E40" s="21" t="n">
        <v>3</v>
      </c>
      <c r="F40" s="22" t="n">
        <v>350</v>
      </c>
      <c r="G40" s="11" t="n">
        <v>154.25</v>
      </c>
      <c r="H40" s="23" t="n">
        <v>0</v>
      </c>
      <c r="I40" s="14" t="n">
        <v>210.2525</v>
      </c>
      <c r="J40" s="24" t="n">
        <v>0</v>
      </c>
      <c r="K40" s="17" t="n">
        <v>143.5</v>
      </c>
      <c r="L40" s="25" t="n">
        <v>0</v>
      </c>
      <c r="M40" s="22" t="n">
        <v>-350</v>
      </c>
    </row>
    <row r="41">
      <c r="A41" s="20" t="inlineStr">
        <is>
          <t>April</t>
        </is>
      </c>
      <c r="B41" s="20" t="inlineStr">
        <is>
          <t>Monica Valdes</t>
        </is>
      </c>
      <c r="C41" s="21" t="n">
        <v>22</v>
      </c>
      <c r="D41" s="21" t="n">
        <v>22</v>
      </c>
      <c r="E41" s="21" t="n">
        <v>2</v>
      </c>
      <c r="F41" s="22" t="n">
        <v>350</v>
      </c>
      <c r="G41" s="11" t="n">
        <v>227.8</v>
      </c>
      <c r="H41" s="23" t="n">
        <v>0</v>
      </c>
      <c r="I41" s="14" t="n">
        <v>346.5500000000001</v>
      </c>
      <c r="J41" s="24" t="n">
        <v>0</v>
      </c>
      <c r="K41" s="17" t="n">
        <v>233.8</v>
      </c>
      <c r="L41" s="25" t="n">
        <v>0</v>
      </c>
      <c r="M41" s="22" t="n">
        <v>-350</v>
      </c>
    </row>
    <row r="42">
      <c r="A42" s="26" t="inlineStr">
        <is>
          <t>REAL 4-MONTH TOTAL (6 agents)</t>
        </is>
      </c>
      <c r="F42" s="27" t="n">
        <v>12220</v>
      </c>
      <c r="G42" s="27" t="n">
        <v>6219.149999999999</v>
      </c>
      <c r="H42" s="27" t="n">
        <v>649</v>
      </c>
      <c r="I42" s="27" t="n">
        <v>9459.315000000001</v>
      </c>
      <c r="J42" s="27" t="n">
        <v>956.45</v>
      </c>
      <c r="K42" s="27" t="n">
        <v>6480.95</v>
      </c>
      <c r="L42" s="27" t="n">
        <v>651.2</v>
      </c>
      <c r="M42" s="27" t="n">
        <v>-11571</v>
      </c>
    </row>
    <row r="44">
      <c r="A44" s="5" t="inlineStr">
        <is>
          <t>SCENARIO 2: 50% OF RWR CONVERTED TO REN (future-state target)</t>
        </is>
      </c>
    </row>
    <row r="45">
      <c r="A45" s="6" t="inlineStr">
        <is>
          <t>Month</t>
        </is>
      </c>
      <c r="B45" s="6" t="inlineStr">
        <is>
          <t>Agent</t>
        </is>
      </c>
      <c r="C45" s="6" t="inlineStr">
        <is>
          <t>NB</t>
        </is>
      </c>
      <c r="D45" s="6" t="inlineStr">
        <is>
          <t>RWR</t>
        </is>
      </c>
      <c r="E45" s="6" t="inlineStr">
        <is>
          <t>REN</t>
        </is>
      </c>
      <c r="F45" s="6" t="inlineStr">
        <is>
          <t>Current</t>
        </is>
      </c>
      <c r="G45" s="6" t="inlineStr">
        <is>
          <t>A no-min</t>
        </is>
      </c>
      <c r="H45" s="6" t="inlineStr">
        <is>
          <t>A with min</t>
        </is>
      </c>
      <c r="I45" s="6" t="inlineStr">
        <is>
          <t>B no-min</t>
        </is>
      </c>
      <c r="J45" s="6" t="inlineStr">
        <is>
          <t>B with min</t>
        </is>
      </c>
      <c r="K45" s="6" t="inlineStr">
        <is>
          <t>C no-min</t>
        </is>
      </c>
      <c r="L45" s="6" t="inlineStr">
        <is>
          <t>C with min</t>
        </is>
      </c>
      <c r="M45" s="6" t="inlineStr">
        <is>
          <t>A-min vs Current</t>
        </is>
      </c>
    </row>
    <row r="46">
      <c r="A46" s="20" t="inlineStr">
        <is>
          <t>January</t>
        </is>
      </c>
      <c r="B46" s="20" t="inlineStr">
        <is>
          <t>Abel Guaina</t>
        </is>
      </c>
      <c r="C46" s="21" t="n">
        <v>25</v>
      </c>
      <c r="D46" s="21" t="n">
        <v>9</v>
      </c>
      <c r="E46" s="21" t="n">
        <v>17</v>
      </c>
      <c r="F46" s="22" t="n">
        <v>250</v>
      </c>
      <c r="G46" s="11" t="n">
        <v>288.3</v>
      </c>
      <c r="H46" s="23" t="n">
        <v>0</v>
      </c>
      <c r="I46" s="14" t="n">
        <v>442.58</v>
      </c>
      <c r="J46" s="24" t="n">
        <v>0</v>
      </c>
      <c r="K46" s="17" t="n">
        <v>359.5</v>
      </c>
      <c r="L46" s="25" t="n">
        <v>0</v>
      </c>
      <c r="M46" s="22" t="n">
        <v>-250</v>
      </c>
    </row>
    <row r="47">
      <c r="A47" s="20" t="inlineStr">
        <is>
          <t>January</t>
        </is>
      </c>
      <c r="B47" s="20" t="inlineStr">
        <is>
          <t>Dialinerys Dieguez</t>
        </is>
      </c>
      <c r="C47" s="21" t="n">
        <v>23</v>
      </c>
      <c r="D47" s="21" t="n">
        <v>24</v>
      </c>
      <c r="E47" s="21" t="n">
        <v>35</v>
      </c>
      <c r="F47" s="22" t="n">
        <v>350</v>
      </c>
      <c r="G47" s="11" t="n">
        <v>406.3</v>
      </c>
      <c r="H47" s="23" t="n">
        <v>0</v>
      </c>
      <c r="I47" s="14" t="n">
        <v>588.7</v>
      </c>
      <c r="J47" s="24" t="n">
        <v>0</v>
      </c>
      <c r="K47" s="17" t="n">
        <v>518.4</v>
      </c>
      <c r="L47" s="25" t="n">
        <v>0</v>
      </c>
      <c r="M47" s="22" t="n">
        <v>-350</v>
      </c>
    </row>
    <row r="48">
      <c r="A48" s="20" t="inlineStr">
        <is>
          <t>January</t>
        </is>
      </c>
      <c r="B48" s="20" t="inlineStr">
        <is>
          <t>Melissa Hernandez</t>
        </is>
      </c>
      <c r="C48" s="21" t="n">
        <v>31</v>
      </c>
      <c r="D48" s="21" t="n">
        <v>24</v>
      </c>
      <c r="E48" s="21" t="n">
        <v>24</v>
      </c>
      <c r="F48" s="22" t="n">
        <v>500</v>
      </c>
      <c r="G48" s="11" t="n">
        <v>355.3</v>
      </c>
      <c r="H48" s="23" t="n">
        <v>0</v>
      </c>
      <c r="I48" s="14" t="n">
        <v>635.635</v>
      </c>
      <c r="J48" s="24" t="n">
        <v>0</v>
      </c>
      <c r="K48" s="17" t="n">
        <v>510.4</v>
      </c>
      <c r="L48" s="25" t="n">
        <v>0</v>
      </c>
      <c r="M48" s="22" t="n">
        <v>-500</v>
      </c>
    </row>
    <row r="49">
      <c r="A49" s="20" t="inlineStr">
        <is>
          <t>January</t>
        </is>
      </c>
      <c r="B49" s="20" t="inlineStr">
        <is>
          <t>Flavia Parra</t>
        </is>
      </c>
      <c r="C49" s="21" t="n">
        <v>19</v>
      </c>
      <c r="D49" s="21" t="n">
        <v>17</v>
      </c>
      <c r="E49" s="21" t="n">
        <v>19</v>
      </c>
      <c r="F49" s="22" t="n">
        <v>350</v>
      </c>
      <c r="G49" s="11" t="n">
        <v>267.3000000000001</v>
      </c>
      <c r="H49" s="23" t="n">
        <v>0</v>
      </c>
      <c r="I49" s="14" t="n">
        <v>427.1850000000001</v>
      </c>
      <c r="J49" s="24" t="n">
        <v>0</v>
      </c>
      <c r="K49" s="17" t="n">
        <v>353.1</v>
      </c>
      <c r="L49" s="25" t="n">
        <v>0</v>
      </c>
      <c r="M49" s="22" t="n">
        <v>-350</v>
      </c>
    </row>
    <row r="50">
      <c r="A50" s="20" t="inlineStr">
        <is>
          <t>January</t>
        </is>
      </c>
      <c r="B50" s="20" t="inlineStr">
        <is>
          <t>Thalia Rojas</t>
        </is>
      </c>
      <c r="C50" s="21" t="n">
        <v>10</v>
      </c>
      <c r="D50" s="21" t="n">
        <v>14</v>
      </c>
      <c r="E50" s="21" t="n">
        <v>18</v>
      </c>
      <c r="F50" s="22" t="n">
        <v>0</v>
      </c>
      <c r="G50" s="11" t="n">
        <v>180</v>
      </c>
      <c r="H50" s="23" t="n">
        <v>0</v>
      </c>
      <c r="I50" s="14" t="n">
        <v>284.92</v>
      </c>
      <c r="J50" s="24" t="n">
        <v>0</v>
      </c>
      <c r="K50" s="17" t="n">
        <v>253.8</v>
      </c>
      <c r="L50" s="25" t="n">
        <v>0</v>
      </c>
      <c r="M50" s="22" t="n">
        <v>0</v>
      </c>
    </row>
    <row r="51">
      <c r="A51" s="20" t="inlineStr">
        <is>
          <t>January</t>
        </is>
      </c>
      <c r="B51" s="20" t="inlineStr">
        <is>
          <t>Monica Valdes</t>
        </is>
      </c>
      <c r="C51" s="21" t="n">
        <v>23</v>
      </c>
      <c r="D51" s="21" t="n">
        <v>19</v>
      </c>
      <c r="E51" s="21" t="n">
        <v>24</v>
      </c>
      <c r="F51" s="22" t="n">
        <v>350</v>
      </c>
      <c r="G51" s="11" t="n">
        <v>350.9</v>
      </c>
      <c r="H51" s="23" t="n">
        <v>0</v>
      </c>
      <c r="I51" s="14" t="n">
        <v>521.235</v>
      </c>
      <c r="J51" s="24" t="n">
        <v>0</v>
      </c>
      <c r="K51" s="17" t="n">
        <v>434.5</v>
      </c>
      <c r="L51" s="25" t="n">
        <v>0</v>
      </c>
      <c r="M51" s="22" t="n">
        <v>-350</v>
      </c>
    </row>
    <row r="52">
      <c r="A52" s="20" t="inlineStr">
        <is>
          <t>February</t>
        </is>
      </c>
      <c r="B52" s="20" t="inlineStr">
        <is>
          <t>Abel Guaina</t>
        </is>
      </c>
      <c r="C52" s="21" t="n">
        <v>13</v>
      </c>
      <c r="D52" s="21" t="n">
        <v>9</v>
      </c>
      <c r="E52" s="21" t="n">
        <v>17</v>
      </c>
      <c r="F52" s="22" t="n">
        <v>0</v>
      </c>
      <c r="G52" s="11" t="n">
        <v>228.5</v>
      </c>
      <c r="H52" s="23" t="n">
        <v>0</v>
      </c>
      <c r="I52" s="14" t="n">
        <v>299.78</v>
      </c>
      <c r="J52" s="24" t="n">
        <v>0</v>
      </c>
      <c r="K52" s="17" t="n">
        <v>262.6</v>
      </c>
      <c r="L52" s="25" t="n">
        <v>0</v>
      </c>
      <c r="M52" s="22" t="n">
        <v>0</v>
      </c>
    </row>
    <row r="53">
      <c r="A53" s="20" t="inlineStr">
        <is>
          <t>February</t>
        </is>
      </c>
      <c r="B53" s="20" t="inlineStr">
        <is>
          <t>Dialinerys Dieguez</t>
        </is>
      </c>
      <c r="C53" s="21" t="n">
        <v>23</v>
      </c>
      <c r="D53" s="21" t="n">
        <v>28</v>
      </c>
      <c r="E53" s="21" t="n">
        <v>37</v>
      </c>
      <c r="F53" s="22" t="n">
        <v>460</v>
      </c>
      <c r="G53" s="11" t="n">
        <v>442.2</v>
      </c>
      <c r="H53" s="23" t="n">
        <v>203.5</v>
      </c>
      <c r="I53" s="14" t="n">
        <v>639.705</v>
      </c>
      <c r="J53" s="24" t="n">
        <v>280.83</v>
      </c>
      <c r="K53" s="17" t="n">
        <v>558.8</v>
      </c>
      <c r="L53" s="25" t="n">
        <v>325.6</v>
      </c>
      <c r="M53" s="22" t="n">
        <v>-256.5</v>
      </c>
    </row>
    <row r="54">
      <c r="A54" s="20" t="inlineStr">
        <is>
          <t>February</t>
        </is>
      </c>
      <c r="B54" s="20" t="inlineStr">
        <is>
          <t>Melissa Hernandez</t>
        </is>
      </c>
      <c r="C54" s="21" t="n">
        <v>13</v>
      </c>
      <c r="D54" s="21" t="n">
        <v>19</v>
      </c>
      <c r="E54" s="21" t="n">
        <v>19</v>
      </c>
      <c r="F54" s="22" t="n">
        <v>250</v>
      </c>
      <c r="G54" s="11" t="n">
        <v>207.75</v>
      </c>
      <c r="H54" s="23" t="n">
        <v>0</v>
      </c>
      <c r="I54" s="14" t="n">
        <v>344.7625</v>
      </c>
      <c r="J54" s="24" t="n">
        <v>0</v>
      </c>
      <c r="K54" s="17" t="n">
        <v>290.6</v>
      </c>
      <c r="L54" s="25" t="n">
        <v>0</v>
      </c>
      <c r="M54" s="22" t="n">
        <v>-250</v>
      </c>
    </row>
    <row r="55">
      <c r="A55" s="20" t="inlineStr">
        <is>
          <t>February</t>
        </is>
      </c>
      <c r="B55" s="20" t="inlineStr">
        <is>
          <t>Flavia Parra</t>
        </is>
      </c>
      <c r="C55" s="21" t="n">
        <v>23</v>
      </c>
      <c r="D55" s="21" t="n">
        <v>21</v>
      </c>
      <c r="E55" s="21" t="n">
        <v>23</v>
      </c>
      <c r="F55" s="22" t="n">
        <v>350</v>
      </c>
      <c r="G55" s="11" t="n">
        <v>280.6</v>
      </c>
      <c r="H55" s="23" t="n">
        <v>0</v>
      </c>
      <c r="I55" s="14" t="n">
        <v>528.0799999999999</v>
      </c>
      <c r="J55" s="24" t="n">
        <v>0</v>
      </c>
      <c r="K55" s="17" t="n">
        <v>438.15</v>
      </c>
      <c r="L55" s="25" t="n">
        <v>0</v>
      </c>
      <c r="M55" s="22" t="n">
        <v>-350</v>
      </c>
    </row>
    <row r="56">
      <c r="A56" s="20" t="inlineStr">
        <is>
          <t>February</t>
        </is>
      </c>
      <c r="B56" s="20" t="inlineStr">
        <is>
          <t>Thalia Rojas</t>
        </is>
      </c>
      <c r="C56" s="21" t="n">
        <v>14</v>
      </c>
      <c r="D56" s="21" t="n">
        <v>12</v>
      </c>
      <c r="E56" s="21" t="n">
        <v>17</v>
      </c>
      <c r="F56" s="22" t="n">
        <v>0</v>
      </c>
      <c r="G56" s="11" t="n">
        <v>231.95</v>
      </c>
      <c r="H56" s="23" t="n">
        <v>0</v>
      </c>
      <c r="I56" s="14" t="n">
        <v>342.245</v>
      </c>
      <c r="J56" s="24" t="n">
        <v>0</v>
      </c>
      <c r="K56" s="17" t="n">
        <v>292.8</v>
      </c>
      <c r="L56" s="25" t="n">
        <v>0</v>
      </c>
      <c r="M56" s="22" t="n">
        <v>0</v>
      </c>
    </row>
    <row r="57">
      <c r="A57" s="20" t="inlineStr">
        <is>
          <t>February</t>
        </is>
      </c>
      <c r="B57" s="20" t="inlineStr">
        <is>
          <t>Monica Valdes</t>
        </is>
      </c>
      <c r="C57" s="21" t="n">
        <v>21</v>
      </c>
      <c r="D57" s="21" t="n">
        <v>15</v>
      </c>
      <c r="E57" s="21" t="n">
        <v>16</v>
      </c>
      <c r="F57" s="22" t="n">
        <v>350</v>
      </c>
      <c r="G57" s="11" t="n">
        <v>274.7</v>
      </c>
      <c r="H57" s="23" t="n">
        <v>0</v>
      </c>
      <c r="I57" s="14" t="n">
        <v>414.825</v>
      </c>
      <c r="J57" s="24" t="n">
        <v>0</v>
      </c>
      <c r="K57" s="17" t="n">
        <v>329.3</v>
      </c>
      <c r="L57" s="25" t="n">
        <v>0</v>
      </c>
      <c r="M57" s="22" t="n">
        <v>-350</v>
      </c>
    </row>
    <row r="58">
      <c r="A58" s="20" t="inlineStr">
        <is>
          <t>March</t>
        </is>
      </c>
      <c r="B58" s="20" t="inlineStr">
        <is>
          <t>Abel Guaina</t>
        </is>
      </c>
      <c r="C58" s="21" t="n">
        <v>30</v>
      </c>
      <c r="D58" s="21" t="n">
        <v>9</v>
      </c>
      <c r="E58" s="21" t="n">
        <v>13</v>
      </c>
      <c r="F58" s="22" t="n">
        <v>350</v>
      </c>
      <c r="G58" s="11" t="n">
        <v>304.55</v>
      </c>
      <c r="H58" s="23" t="n">
        <v>0</v>
      </c>
      <c r="I58" s="14" t="n">
        <v>475.455</v>
      </c>
      <c r="J58" s="24" t="n">
        <v>0</v>
      </c>
      <c r="K58" s="17" t="n">
        <v>369.5</v>
      </c>
      <c r="L58" s="25" t="n">
        <v>0</v>
      </c>
      <c r="M58" s="22" t="n">
        <v>-350</v>
      </c>
    </row>
    <row r="59">
      <c r="A59" s="20" t="inlineStr">
        <is>
          <t>March</t>
        </is>
      </c>
      <c r="B59" s="20" t="inlineStr">
        <is>
          <t>Dialinerys Dieguez</t>
        </is>
      </c>
      <c r="C59" s="21" t="n">
        <v>38</v>
      </c>
      <c r="D59" s="21" t="n">
        <v>35</v>
      </c>
      <c r="E59" s="21" t="n">
        <v>41</v>
      </c>
      <c r="F59" s="22" t="n">
        <v>680</v>
      </c>
      <c r="G59" s="11" t="n">
        <v>595.1</v>
      </c>
      <c r="H59" s="23" t="n">
        <v>595.1</v>
      </c>
      <c r="I59" s="14" t="n">
        <v>879.34</v>
      </c>
      <c r="J59" s="24" t="n">
        <v>879.34</v>
      </c>
      <c r="K59" s="17" t="n">
        <v>733.7</v>
      </c>
      <c r="L59" s="25" t="n">
        <v>733.7</v>
      </c>
      <c r="M59" s="22" t="n">
        <v>-84.89999999999998</v>
      </c>
    </row>
    <row r="60">
      <c r="A60" s="20" t="inlineStr">
        <is>
          <t>March</t>
        </is>
      </c>
      <c r="B60" s="20" t="inlineStr">
        <is>
          <t>Melissa Hernandez</t>
        </is>
      </c>
      <c r="C60" s="21" t="n">
        <v>28</v>
      </c>
      <c r="D60" s="21" t="n">
        <v>24</v>
      </c>
      <c r="E60" s="21" t="n">
        <v>25</v>
      </c>
      <c r="F60" s="22" t="n">
        <v>470</v>
      </c>
      <c r="G60" s="11" t="n">
        <v>358.8</v>
      </c>
      <c r="H60" s="23" t="n">
        <v>0</v>
      </c>
      <c r="I60" s="14" t="n">
        <v>571.55</v>
      </c>
      <c r="J60" s="24" t="n">
        <v>0</v>
      </c>
      <c r="K60" s="17" t="n">
        <v>470.4</v>
      </c>
      <c r="L60" s="25" t="n">
        <v>0</v>
      </c>
      <c r="M60" s="22" t="n">
        <v>-470</v>
      </c>
    </row>
    <row r="61">
      <c r="A61" s="20" t="inlineStr">
        <is>
          <t>March</t>
        </is>
      </c>
      <c r="B61" s="20" t="inlineStr">
        <is>
          <t>Flavia Parra</t>
        </is>
      </c>
      <c r="C61" s="21" t="n">
        <v>27</v>
      </c>
      <c r="D61" s="21" t="n">
        <v>13</v>
      </c>
      <c r="E61" s="21" t="n">
        <v>14</v>
      </c>
      <c r="F61" s="22" t="n">
        <v>350</v>
      </c>
      <c r="G61" s="11" t="n">
        <v>249.55</v>
      </c>
      <c r="H61" s="23" t="n">
        <v>0</v>
      </c>
      <c r="I61" s="14" t="n">
        <v>505.8274999999999</v>
      </c>
      <c r="J61" s="24" t="n">
        <v>0</v>
      </c>
      <c r="K61" s="17" t="n">
        <v>392.1499999999999</v>
      </c>
      <c r="L61" s="25" t="n">
        <v>0</v>
      </c>
      <c r="M61" s="22" t="n">
        <v>-350</v>
      </c>
    </row>
    <row r="62">
      <c r="A62" s="20" t="inlineStr">
        <is>
          <t>March</t>
        </is>
      </c>
      <c r="B62" s="20" t="inlineStr">
        <is>
          <t>Thalia Rojas</t>
        </is>
      </c>
      <c r="C62" s="21" t="n">
        <v>19</v>
      </c>
      <c r="D62" s="21" t="n">
        <v>9</v>
      </c>
      <c r="E62" s="21" t="n">
        <v>16</v>
      </c>
      <c r="F62" s="22" t="n">
        <v>0</v>
      </c>
      <c r="G62" s="11" t="n">
        <v>199.45</v>
      </c>
      <c r="H62" s="23" t="n">
        <v>0</v>
      </c>
      <c r="I62" s="14" t="n">
        <v>397.9775</v>
      </c>
      <c r="J62" s="24" t="n">
        <v>0</v>
      </c>
      <c r="K62" s="17" t="n">
        <v>325.5</v>
      </c>
      <c r="L62" s="25" t="n">
        <v>0</v>
      </c>
      <c r="M62" s="22" t="n">
        <v>0</v>
      </c>
    </row>
    <row r="63">
      <c r="A63" s="20" t="inlineStr">
        <is>
          <t>March</t>
        </is>
      </c>
      <c r="B63" s="20" t="inlineStr">
        <is>
          <t>Monica Valdes</t>
        </is>
      </c>
      <c r="C63" s="21" t="n">
        <v>36</v>
      </c>
      <c r="D63" s="21" t="n">
        <v>14</v>
      </c>
      <c r="E63" s="21" t="n">
        <v>14</v>
      </c>
      <c r="F63" s="22" t="n">
        <v>450</v>
      </c>
      <c r="G63" s="11" t="n">
        <v>454.4</v>
      </c>
      <c r="H63" s="23" t="n">
        <v>356.4</v>
      </c>
      <c r="I63" s="14" t="n">
        <v>589.9</v>
      </c>
      <c r="J63" s="24" t="n">
        <v>465.3</v>
      </c>
      <c r="K63" s="17" t="n">
        <v>442.8</v>
      </c>
      <c r="L63" s="25" t="n">
        <v>316.8</v>
      </c>
      <c r="M63" s="22" t="n">
        <v>-93.59999999999997</v>
      </c>
    </row>
    <row r="64">
      <c r="A64" s="20" t="inlineStr">
        <is>
          <t>April</t>
        </is>
      </c>
      <c r="B64" s="20" t="inlineStr">
        <is>
          <t>Abel Guaina</t>
        </is>
      </c>
      <c r="C64" s="21" t="n">
        <v>27</v>
      </c>
      <c r="D64" s="21" t="n">
        <v>7</v>
      </c>
      <c r="E64" s="21" t="n">
        <v>21</v>
      </c>
      <c r="F64" s="22" t="n">
        <v>250</v>
      </c>
      <c r="G64" s="11" t="n">
        <v>320.6</v>
      </c>
      <c r="H64" s="23" t="n">
        <v>0</v>
      </c>
      <c r="I64" s="14" t="n">
        <v>531.71</v>
      </c>
      <c r="J64" s="24" t="n">
        <v>0</v>
      </c>
      <c r="K64" s="17" t="n">
        <v>438.85</v>
      </c>
      <c r="L64" s="25" t="n">
        <v>0</v>
      </c>
      <c r="M64" s="22" t="n">
        <v>-250</v>
      </c>
    </row>
    <row r="65">
      <c r="A65" s="20" t="inlineStr">
        <is>
          <t>April</t>
        </is>
      </c>
      <c r="B65" s="20" t="inlineStr">
        <is>
          <t>Dialinerys Dieguez</t>
        </is>
      </c>
      <c r="C65" s="21" t="n">
        <v>33</v>
      </c>
      <c r="D65" s="21" t="n">
        <v>22</v>
      </c>
      <c r="E65" s="21" t="n">
        <v>24</v>
      </c>
      <c r="F65" s="22" t="n">
        <v>500</v>
      </c>
      <c r="G65" s="11" t="n">
        <v>463.1</v>
      </c>
      <c r="H65" s="23" t="n">
        <v>158.4</v>
      </c>
      <c r="I65" s="14" t="n">
        <v>659.2850000000001</v>
      </c>
      <c r="J65" s="24" t="n">
        <v>182.16</v>
      </c>
      <c r="K65" s="17" t="n">
        <v>526.9</v>
      </c>
      <c r="L65" s="25" t="n">
        <v>211.2</v>
      </c>
      <c r="M65" s="22" t="n">
        <v>-341.6</v>
      </c>
    </row>
    <row r="66">
      <c r="A66" s="20" t="inlineStr">
        <is>
          <t>April</t>
        </is>
      </c>
      <c r="B66" s="20" t="inlineStr">
        <is>
          <t>Melissa Hernandez</t>
        </is>
      </c>
      <c r="C66" s="21" t="n">
        <v>15</v>
      </c>
      <c r="D66" s="21" t="n">
        <v>19</v>
      </c>
      <c r="E66" s="21" t="n">
        <v>18</v>
      </c>
      <c r="F66" s="22" t="n">
        <v>250</v>
      </c>
      <c r="G66" s="11" t="n">
        <v>256.3</v>
      </c>
      <c r="H66" s="23" t="n">
        <v>0</v>
      </c>
      <c r="I66" s="14" t="n">
        <v>372.295</v>
      </c>
      <c r="J66" s="24" t="n">
        <v>0</v>
      </c>
      <c r="K66" s="17" t="n">
        <v>311.3</v>
      </c>
      <c r="L66" s="25" t="n">
        <v>0</v>
      </c>
      <c r="M66" s="22" t="n">
        <v>-250</v>
      </c>
    </row>
    <row r="67">
      <c r="A67" s="20" t="inlineStr">
        <is>
          <t>April</t>
        </is>
      </c>
      <c r="B67" s="20" t="inlineStr">
        <is>
          <t>Flavia Parra</t>
        </is>
      </c>
      <c r="C67" s="21" t="n">
        <v>23</v>
      </c>
      <c r="D67" s="21" t="n">
        <v>15</v>
      </c>
      <c r="E67" s="21" t="n">
        <v>17</v>
      </c>
      <c r="F67" s="22" t="n">
        <v>350</v>
      </c>
      <c r="G67" s="11" t="n">
        <v>289.8</v>
      </c>
      <c r="H67" s="23" t="n">
        <v>0</v>
      </c>
      <c r="I67" s="14" t="n">
        <v>466.67</v>
      </c>
      <c r="J67" s="24" t="n">
        <v>0</v>
      </c>
      <c r="K67" s="17" t="n">
        <v>376.05</v>
      </c>
      <c r="L67" s="25" t="n">
        <v>0</v>
      </c>
      <c r="M67" s="22" t="n">
        <v>-350</v>
      </c>
    </row>
    <row r="68">
      <c r="A68" s="20" t="inlineStr">
        <is>
          <t>April</t>
        </is>
      </c>
      <c r="B68" s="20" t="inlineStr">
        <is>
          <t>Thalia Rojas</t>
        </is>
      </c>
      <c r="C68" s="21" t="n">
        <v>9</v>
      </c>
      <c r="D68" s="21" t="n">
        <v>15</v>
      </c>
      <c r="E68" s="21" t="n">
        <v>17</v>
      </c>
      <c r="F68" s="22" t="n">
        <v>0</v>
      </c>
      <c r="G68" s="11" t="n">
        <v>203.2</v>
      </c>
      <c r="H68" s="23" t="n">
        <v>0</v>
      </c>
      <c r="I68" s="14" t="n">
        <v>289.5075</v>
      </c>
      <c r="J68" s="24" t="n">
        <v>0</v>
      </c>
      <c r="K68" s="17" t="n">
        <v>255.7</v>
      </c>
      <c r="L68" s="25" t="n">
        <v>0</v>
      </c>
      <c r="M68" s="22" t="n">
        <v>0</v>
      </c>
    </row>
    <row r="69">
      <c r="A69" s="20" t="inlineStr">
        <is>
          <t>April</t>
        </is>
      </c>
      <c r="B69" s="20" t="inlineStr">
        <is>
          <t>Monica Valdes</t>
        </is>
      </c>
      <c r="C69" s="21" t="n">
        <v>22</v>
      </c>
      <c r="D69" s="21" t="n">
        <v>11</v>
      </c>
      <c r="E69" s="21" t="n">
        <v>13</v>
      </c>
      <c r="F69" s="22" t="n">
        <v>250</v>
      </c>
      <c r="G69" s="11" t="n">
        <v>265.1</v>
      </c>
      <c r="H69" s="23" t="n">
        <v>0</v>
      </c>
      <c r="I69" s="14" t="n">
        <v>407.22</v>
      </c>
      <c r="J69" s="24" t="n">
        <v>0</v>
      </c>
      <c r="K69" s="17" t="n">
        <v>320.1</v>
      </c>
      <c r="L69" s="25" t="n">
        <v>0</v>
      </c>
      <c r="M69" s="22" t="n">
        <v>-250</v>
      </c>
    </row>
    <row r="70">
      <c r="A70" s="26" t="inlineStr">
        <is>
          <t>SWAP 4-MONTH TOTAL (6 agents)</t>
        </is>
      </c>
      <c r="F70" s="27" t="n">
        <v>7110</v>
      </c>
      <c r="G70" s="27" t="n">
        <v>7473.750000000002</v>
      </c>
      <c r="H70" s="27" t="n">
        <v>1313.4</v>
      </c>
      <c r="I70" s="27" t="n">
        <v>11616.39</v>
      </c>
      <c r="J70" s="27" t="n">
        <v>1807.63</v>
      </c>
      <c r="K70" s="27" t="n">
        <v>9564.9</v>
      </c>
      <c r="L70" s="27" t="n">
        <v>1587.3</v>
      </c>
      <c r="M70" s="27" t="n">
        <v>-5796.6</v>
      </c>
    </row>
    <row r="73">
      <c r="A73" s="5" t="inlineStr">
        <is>
          <t>OWNERSHIP READ</t>
        </is>
      </c>
    </row>
    <row r="74" ht="44" customHeight="1">
      <c r="A74" s="28" t="inlineStr">
        <is>
          <t>REAL TOTAL (no-min): Current $12,220 | A $6,219 | B $9,459 | C $6,481. All three new plans are cheaper than the current $12,220.</t>
        </is>
      </c>
    </row>
    <row r="75" ht="44" customHeight="1">
      <c r="A75" s="28" t="inlineStr">
        <is>
          <t>REAL TOTAL (with $50,000/$50,000 mins): A $649 | B $956 | C $651. The minimums hammer the REAL payout because no agent currently has $50k of REN premium in a single month - so NO REN bonus and NO RWR bonus is earned. NB bonus is only earned when NB premium clears $50k, which happens twice in the four months.</t>
        </is>
      </c>
    </row>
    <row r="76" ht="44" customHeight="1">
      <c r="A76" s="28" t="inlineStr">
        <is>
          <t>SWAP TOTAL (no-min): Current drops to $7,110 (-$5,110). A $7,474 | B $11,616 | C $9,565. New plans GROW because renewals now pay.</t>
        </is>
      </c>
    </row>
    <row r="77" ht="44" customHeight="1">
      <c r="A77" s="28" t="inlineStr">
        <is>
          <t>SWAP TOTAL (with mins): A $1,313 | B $1,808 | C $1,587. Even with the swap, only Dialinerys crosses both gates in some months. The $50k REN minimum is aspirational - it forces agents to build the renewal book to unlock the bonus.</t>
        </is>
      </c>
    </row>
    <row r="78" ht="44" customHeight="1">
      <c r="A78" s="28" t="inlineStr">
        <is>
          <t>WHY THE WITH-MIN NUMBERS ARE SO LOW: today's agents barely have renewals. The $50k REN gate is intentional - it tells the team 'no bonus until you have a renewal book.' If ownership wants softer activation, see the Minimum Requirements sheet for $25k and $35k variants.</t>
        </is>
      </c>
    </row>
    <row r="79" ht="44" customHeight="1">
      <c r="A79" s="28" t="inlineStr">
        <is>
          <t>CURRENT BONUS GOES DOWN in the swap because RWR count drops, and the current plan only counts NB+RWR. That is the broken incentive we are fixing.</t>
        </is>
      </c>
    </row>
    <row r="80" ht="44" customHeight="1">
      <c r="A80" s="28" t="inlineStr">
        <is>
          <t>PROTECTION: Pay = calculated target. Review threshold flags months above 40% of safe net (informational). 90-day chargeback reverses any bonus on a policy that cancels/rewrites - that is the real profit shield. Minimums add a second layer: no premium volume, no bonus.</t>
        </is>
      </c>
    </row>
    <row r="81" ht="44" customHeight="1">
      <c r="A81" s="28" t="inlineStr">
        <is>
          <t>RECOMMENDATION: Proposal A or B with the $50k/$50k minimums starting in Q3, after 90 days of awareness so agents can build renewals. Proposal C only if the goal is simplest payroll.</t>
        </is>
      </c>
    </row>
  </sheetData>
  <mergeCells count="15">
    <mergeCell ref="A76:M76"/>
    <mergeCell ref="A14:M14"/>
    <mergeCell ref="A44:M44"/>
    <mergeCell ref="A1:M1"/>
    <mergeCell ref="A75:M75"/>
    <mergeCell ref="A80:M80"/>
    <mergeCell ref="A79:M79"/>
    <mergeCell ref="A74:M74"/>
    <mergeCell ref="A4:M4"/>
    <mergeCell ref="A78:M78"/>
    <mergeCell ref="A77:M77"/>
    <mergeCell ref="A2:M2"/>
    <mergeCell ref="A81:M81"/>
    <mergeCell ref="A73:M73"/>
    <mergeCell ref="A16:M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9"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The carrier pays the agency commission on the WRITTEN premium, NOT just the down payment.</t>
        </is>
      </c>
      <c r="B5" s="3" t="inlineStr">
        <is>
          <t>Example: $1,500 policy, 10% commission. Agency gets $150 commission upfront, even though the customer only paid $150 down.</t>
        </is>
      </c>
    </row>
    <row r="6" ht="38" customHeight="1">
      <c r="A6" s="2" t="inlineStr">
        <is>
          <t>If the customer stops paying, the carrier charges back the unearned commission.</t>
        </is>
      </c>
      <c r="B6" s="3" t="inlineStr">
        <is>
          <t>Same example: customer pays only $150, then walks. Carrier reverses ~$135 of the $150 commission. Net kept: ~$15.</t>
        </is>
      </c>
    </row>
    <row r="7" ht="38" customHeight="1">
      <c r="A7" s="2" t="inlineStr">
        <is>
          <t>So in practice the commission we actually KEEP is roughly equal to "commission on what was collected".</t>
        </is>
      </c>
      <c r="B7" s="3" t="inlineStr">
        <is>
          <t>That is why the workbook computes safe net using collected x commission rate - the math nets out the same as written-comm minus chargeback.</t>
        </is>
      </c>
    </row>
    <row r="8" ht="38" customHeight="1">
      <c r="A8" s="2" t="inlineStr">
        <is>
          <t>The higher the % collected at the down payment, the lower the chance of cancellation, the less chargeback.</t>
        </is>
      </c>
      <c r="B8" s="3" t="inlineStr">
        <is>
          <t>PIF (paid in full) = essentially no chargeback risk. 50% down = much less chargeback than 15% down. That is why the kicker exists.</t>
        </is>
      </c>
    </row>
    <row r="10">
      <c r="A10" s="5" t="inlineStr">
        <is>
          <t>STEP-BY-STEP: $1,500 policy, customer pays $150 down (10% collected), 10% carrier commission</t>
        </is>
      </c>
    </row>
    <row r="11">
      <c r="A11" s="6" t="inlineStr">
        <is>
          <t>Step</t>
        </is>
      </c>
      <c r="B11" s="6" t="inlineStr">
        <is>
          <t>What happens</t>
        </is>
      </c>
      <c r="C11" s="6" t="inlineStr">
        <is>
          <t>Math</t>
        </is>
      </c>
      <c r="D11" s="6" t="inlineStr">
        <is>
          <t>Dollar amount</t>
        </is>
      </c>
      <c r="E11" s="6" t="inlineStr">
        <is>
          <t>Running total</t>
        </is>
      </c>
      <c r="F11" s="6" t="inlineStr">
        <is>
          <t>Plain English</t>
        </is>
      </c>
    </row>
    <row r="12" ht="36" customHeight="1">
      <c r="A12" s="30" t="inlineStr">
        <is>
          <t>1</t>
        </is>
      </c>
      <c r="B12" s="30" t="inlineStr">
        <is>
          <t>Policy is written</t>
        </is>
      </c>
      <c r="C12" s="30" t="inlineStr">
        <is>
          <t>Premium $1,500</t>
        </is>
      </c>
      <c r="D12" s="30" t="inlineStr">
        <is>
          <t>$1,500</t>
        </is>
      </c>
      <c r="E12" s="30" t="inlineStr">
        <is>
          <t>$0 in our pocket yet</t>
        </is>
      </c>
      <c r="F12" s="30" t="inlineStr">
        <is>
          <t>The customer is on the hook for $1,500. Most of it is owed on payments.</t>
        </is>
      </c>
    </row>
    <row r="13" ht="36" customHeight="1">
      <c r="A13" s="20" t="inlineStr">
        <is>
          <t>2</t>
        </is>
      </c>
      <c r="B13" s="20" t="inlineStr">
        <is>
          <t>Carrier pays commission on WRITTEN premium</t>
        </is>
      </c>
      <c r="C13" s="20" t="inlineStr">
        <is>
          <t>$1,500 x 10%</t>
        </is>
      </c>
      <c r="D13" s="20" t="inlineStr">
        <is>
          <t>$150</t>
        </is>
      </c>
      <c r="E13" s="20" t="inlineStr">
        <is>
          <t>$150 advance commission</t>
        </is>
      </c>
      <c r="F13" s="20" t="inlineStr">
        <is>
          <t>This is an ADVANCE. The carrier expects to collect the full $1,500.</t>
        </is>
      </c>
    </row>
    <row r="14" ht="36" customHeight="1">
      <c r="A14" s="30" t="inlineStr">
        <is>
          <t>3</t>
        </is>
      </c>
      <c r="B14" s="30" t="inlineStr">
        <is>
          <t>Customer pays $150 down (10% collected)</t>
        </is>
      </c>
      <c r="C14" s="30" t="inlineStr">
        <is>
          <t>$150 cash in</t>
        </is>
      </c>
      <c r="D14" s="30" t="inlineStr">
        <is>
          <t>$150</t>
        </is>
      </c>
      <c r="E14" s="30" t="inlineStr">
        <is>
          <t>$150 cash + $150 commission</t>
        </is>
      </c>
      <c r="F14" s="30" t="inlineStr">
        <is>
          <t>Down payment is just the customer paying their bill. Not commission.</t>
        </is>
      </c>
    </row>
    <row r="15" ht="36" customHeight="1">
      <c r="A15" s="20" t="inlineStr">
        <is>
          <t>4</t>
        </is>
      </c>
      <c r="B15" s="20" t="inlineStr">
        <is>
          <t>If customer pays the rest, no chargeback</t>
        </is>
      </c>
      <c r="C15" s="20" t="inlineStr">
        <is>
          <t>Best case</t>
        </is>
      </c>
      <c r="D15" s="20" t="inlineStr">
        <is>
          <t>Keep $150</t>
        </is>
      </c>
      <c r="E15" s="20" t="inlineStr">
        <is>
          <t>$150 commission kept</t>
        </is>
      </c>
      <c r="F15" s="20" t="inlineStr">
        <is>
          <t>Carrier earned the full premium, we keep the full commission. Renewal still pays.</t>
        </is>
      </c>
    </row>
    <row r="16" ht="36" customHeight="1">
      <c r="A16" s="30" t="inlineStr">
        <is>
          <t>5</t>
        </is>
      </c>
      <c r="B16" s="30" t="inlineStr">
        <is>
          <t>If customer cancels after only paying $150</t>
        </is>
      </c>
      <c r="C16" s="30" t="inlineStr">
        <is>
          <t>Carrier reverses unearned commission</t>
        </is>
      </c>
      <c r="D16" s="30" t="inlineStr">
        <is>
          <t>-$135</t>
        </is>
      </c>
      <c r="E16" s="30" t="inlineStr">
        <is>
          <t>$15 commission kept</t>
        </is>
      </c>
      <c r="F16" s="30" t="inlineStr">
        <is>
          <t>Carrier earned 10% of the $150 collected, the other $135 of commission is reversed.</t>
        </is>
      </c>
    </row>
    <row r="17" ht="36" customHeight="1">
      <c r="A17" s="20" t="inlineStr">
        <is>
          <t>6</t>
        </is>
      </c>
      <c r="B17" s="20" t="inlineStr">
        <is>
          <t>EXPECTED commission ~= collected x rate</t>
        </is>
      </c>
      <c r="C17" s="20" t="inlineStr">
        <is>
          <t>$150 collected x 10%</t>
        </is>
      </c>
      <c r="D17" s="20" t="inlineStr">
        <is>
          <t>$15 expected to keep</t>
        </is>
      </c>
      <c r="E17" s="20" t="inlineStr">
        <is>
          <t>Use this for safe net</t>
        </is>
      </c>
      <c r="F17" s="20" t="inlineStr">
        <is>
          <t>That is why the workbook uses collected x rate. It is the cash we EXPECT to retain.</t>
        </is>
      </c>
    </row>
    <row r="18" ht="36" customHeight="1">
      <c r="A18" s="30" t="inlineStr">
        <is>
          <t>7</t>
        </is>
      </c>
      <c r="B18" s="30" t="inlineStr">
        <is>
          <t>Royalty to corporate (17.5%)</t>
        </is>
      </c>
      <c r="C18" s="30" t="inlineStr">
        <is>
          <t>$15 x 17.5%</t>
        </is>
      </c>
      <c r="D18" s="30" t="inlineStr">
        <is>
          <t>-$2.63</t>
        </is>
      </c>
      <c r="E18" s="30" t="inlineStr">
        <is>
          <t>$12.38 retained</t>
        </is>
      </c>
      <c r="F18" s="30" t="inlineStr">
        <is>
          <t>Franchise royalty comes off the top.</t>
        </is>
      </c>
    </row>
    <row r="19" ht="36" customHeight="1">
      <c r="A19" s="20" t="inlineStr">
        <is>
          <t>8</t>
        </is>
      </c>
      <c r="B19" s="20" t="inlineStr">
        <is>
          <t>Overhead reserve (40%)</t>
        </is>
      </c>
      <c r="C19" s="20" t="inlineStr">
        <is>
          <t>$12.38 x 40%</t>
        </is>
      </c>
      <c r="D19" s="20" t="inlineStr">
        <is>
          <t>-$4.95</t>
        </is>
      </c>
      <c r="E19" s="20" t="inlineStr">
        <is>
          <t>$7.43 SAFE NET</t>
        </is>
      </c>
      <c r="F19" s="20" t="inlineStr">
        <is>
          <t>Rent, tech, admin, bank fees, agent salaries. Conservative reserve.</t>
        </is>
      </c>
    </row>
    <row r="20" ht="36" customHeight="1">
      <c r="A20" s="30" t="inlineStr">
        <is>
          <t>9</t>
        </is>
      </c>
      <c r="B20" s="30" t="inlineStr">
        <is>
          <t>Bonus review threshold (40% of safe net)</t>
        </is>
      </c>
      <c r="C20" s="30" t="inlineStr">
        <is>
          <t>$7.43 x 40%</t>
        </is>
      </c>
      <c r="D20" s="30" t="inlineStr">
        <is>
          <t>$2.97 review cap</t>
        </is>
      </c>
      <c r="E20" s="30" t="inlineStr">
        <is>
          <t>Bonus targets above $2.97 on this policy get flagged for ownership review.</t>
        </is>
      </c>
      <c r="F20" s="30" t="inlineStr">
        <is>
          <t>Soft cap, not auto-cut.</t>
        </is>
      </c>
    </row>
    <row r="22">
      <c r="A22" s="5" t="inlineStr">
        <is>
          <t>WORKED EXAMPLE - Abel Guaina, January 2026 (full month)</t>
        </is>
      </c>
    </row>
    <row r="23">
      <c r="A23" s="6" t="inlineStr">
        <is>
          <t>Step</t>
        </is>
      </c>
      <c r="B23" s="6" t="inlineStr">
        <is>
          <t>Formula</t>
        </is>
      </c>
      <c r="C23" s="6" t="inlineStr">
        <is>
          <t>Plug-in</t>
        </is>
      </c>
      <c r="D23" s="6" t="inlineStr">
        <is>
          <t>Output</t>
        </is>
      </c>
      <c r="E23" s="6" t="inlineStr">
        <is>
          <t>What it means</t>
        </is>
      </c>
    </row>
    <row r="24" ht="36" customHeight="1">
      <c r="A24" s="30" t="inlineStr">
        <is>
          <t>1. Total written premium</t>
        </is>
      </c>
      <c r="B24" s="30" t="inlineStr">
        <is>
          <t>NB + RWR + REN written</t>
        </is>
      </c>
      <c r="C24" s="30" t="inlineStr">
        <is>
          <t>$38,611 + $27,518 + $7,605</t>
        </is>
      </c>
      <c r="D24" s="30" t="inlineStr">
        <is>
          <t>$73,734.92</t>
        </is>
      </c>
      <c r="E24" s="30" t="inlineStr">
        <is>
          <t>What Abel sold and renewed this month</t>
        </is>
      </c>
    </row>
    <row r="25" ht="36" customHeight="1">
      <c r="A25" s="20" t="inlineStr">
        <is>
          <t>2. Carrier commission ADVANCE</t>
        </is>
      </c>
      <c r="B25" s="20" t="inlineStr">
        <is>
          <t>Written x 11% blended</t>
        </is>
      </c>
      <c r="C25" s="20" t="inlineStr">
        <is>
          <t>$73,734.92 x 0.11</t>
        </is>
      </c>
      <c r="D25" s="20" t="inlineStr">
        <is>
          <t>$8,110.84</t>
        </is>
      </c>
      <c r="E25" s="20" t="inlineStr">
        <is>
          <t>Carriers paid us this much commission UPFRONT</t>
        </is>
      </c>
    </row>
    <row r="26" ht="36" customHeight="1">
      <c r="A26" s="30" t="inlineStr">
        <is>
          <t>3. Total collected</t>
        </is>
      </c>
      <c r="B26" s="30" t="inlineStr">
        <is>
          <t>Down payments + installments collected</t>
        </is>
      </c>
      <c r="C26" s="30" t="inlineStr">
        <is>
          <t>$4,938 + $6,186 + $1,734</t>
        </is>
      </c>
      <c r="D26" s="30" t="inlineStr">
        <is>
          <t>$12,858.65</t>
        </is>
      </c>
      <c r="E26" s="30" t="inlineStr">
        <is>
          <t>Cash that actually came in from customers</t>
        </is>
      </c>
    </row>
    <row r="27" ht="36" customHeight="1">
      <c r="A27" s="20" t="inlineStr">
        <is>
          <t>4. Expected retained commission</t>
        </is>
      </c>
      <c r="B27" s="20" t="inlineStr">
        <is>
          <t>Collected x 11% (chargeback math)</t>
        </is>
      </c>
      <c r="C27" s="20" t="inlineStr">
        <is>
          <t>$12,858.65 x 0.11</t>
        </is>
      </c>
      <c r="D27" s="20" t="inlineStr">
        <is>
          <t>$1,414.45</t>
        </is>
      </c>
      <c r="E27" s="20" t="inlineStr">
        <is>
          <t>Net of expected chargebacks. Lower than the advance.</t>
        </is>
      </c>
    </row>
    <row r="28" ht="36" customHeight="1">
      <c r="A28" s="30" t="inlineStr">
        <is>
          <t>5. After royalty</t>
        </is>
      </c>
      <c r="B28" s="30" t="inlineStr">
        <is>
          <t>Retained x (1 - 17.5%)</t>
        </is>
      </c>
      <c r="C28" s="30" t="inlineStr">
        <is>
          <t>$1,414.45 x 0.825</t>
        </is>
      </c>
      <c r="D28" s="30" t="inlineStr">
        <is>
          <t>$1,166.92</t>
        </is>
      </c>
      <c r="E28" s="30" t="inlineStr">
        <is>
          <t>After 17.5% corporate royalty</t>
        </is>
      </c>
    </row>
    <row r="29" ht="36" customHeight="1">
      <c r="A29" s="20" t="inlineStr">
        <is>
          <t>6. SAFE NET</t>
        </is>
      </c>
      <c r="B29" s="20" t="inlineStr">
        <is>
          <t>After-royalty x (1 - 40% overhead)</t>
        </is>
      </c>
      <c r="C29" s="20" t="inlineStr">
        <is>
          <t>$1,166.92 x 0.60</t>
        </is>
      </c>
      <c r="D29" s="20" t="inlineStr">
        <is>
          <t>$700.15</t>
        </is>
      </c>
      <c r="E29" s="20" t="inlineStr">
        <is>
          <t>Money truly available to spend on bonus + profit + taxes. Overhead reserve covers salaries/rent/tech/admin.</t>
        </is>
      </c>
    </row>
    <row r="30" ht="36" customHeight="1">
      <c r="A30" s="30" t="inlineStr">
        <is>
          <t>7. Review threshold</t>
        </is>
      </c>
      <c r="B30" s="30" t="inlineStr">
        <is>
          <t>Safe net x 40%</t>
        </is>
      </c>
      <c r="C30" s="30" t="inlineStr">
        <is>
          <t>$700.15 x 0.40</t>
        </is>
      </c>
      <c r="D30" s="30" t="inlineStr">
        <is>
          <t>$280.06</t>
        </is>
      </c>
      <c r="E30" s="30" t="inlineStr">
        <is>
          <t>Bonus targets above this trigger ownership review (soft flag)</t>
        </is>
      </c>
    </row>
    <row r="31" ht="36" customHeight="1">
      <c r="A31" s="20" t="inlineStr">
        <is>
          <t>8. Proposal A target paid</t>
        </is>
      </c>
      <c r="B31" s="20" t="inlineStr">
        <is>
          <t>(from plan rules)</t>
        </is>
      </c>
      <c r="C31" s="20" t="inlineStr">
        <is>
          <t>Abel's January NB/REN/RWR</t>
        </is>
      </c>
      <c r="D31" s="20" t="inlineStr">
        <is>
          <t>$252.00</t>
        </is>
      </c>
      <c r="E31" s="20" t="inlineStr">
        <is>
          <t>That is 36% of safe net - under threshold, no flag</t>
        </is>
      </c>
    </row>
    <row r="32" ht="36" customHeight="1">
      <c r="A32" s="30" t="inlineStr">
        <is>
          <t>9. Proposal B target paid</t>
        </is>
      </c>
      <c r="B32" s="30" t="inlineStr">
        <is>
          <t>(from plan rules)</t>
        </is>
      </c>
      <c r="C32" s="30" t="inlineStr">
        <is>
          <t>Bigger because $10 NB base</t>
        </is>
      </c>
      <c r="D32" s="30" t="inlineStr">
        <is>
          <t>$399.46</t>
        </is>
      </c>
      <c r="E32" s="30" t="inlineStr">
        <is>
          <t>That is 57% of safe net - flagged for review</t>
        </is>
      </c>
    </row>
    <row r="34">
      <c r="A34" s="5" t="inlineStr">
        <is>
          <t>KEY TAKEAWAYS</t>
        </is>
      </c>
    </row>
    <row r="35" ht="40" customHeight="1">
      <c r="A35" s="31" t="inlineStr">
        <is>
          <t>Commission is an ADVANCE on written premium. We keep ~commission-on-collected once chargebacks settle out.</t>
        </is>
      </c>
    </row>
    <row r="36" ht="40" customHeight="1">
      <c r="A36" s="31" t="inlineStr">
        <is>
          <t>Down payment / PIF do NOT change the commission RATE. They reduce CHARGEBACK risk, which makes more of the advance permanent.</t>
        </is>
      </c>
    </row>
    <row r="37" ht="40" customHeight="1">
      <c r="A37" s="31" t="inlineStr">
        <is>
          <t>Safe net is what is LEFT after royalty and overhead reserve. It is the pool for bonus + agency profit + taxes.</t>
        </is>
      </c>
    </row>
    <row r="38" ht="40" customHeight="1">
      <c r="A38" s="31" t="inlineStr">
        <is>
          <t>Under TODAY'S plan, the 6 agents collectively receive $12,220 of bonus on $21,285 of safe net = ~57% of safe net. That is heavy. All three new proposals come in well below 57%.</t>
        </is>
      </c>
    </row>
    <row r="39" ht="40" customHeight="1">
      <c r="A39" s="31" t="inlineStr">
        <is>
          <t>The 40% review threshold is a soft flag, not an auto-cut. The 90-day chargeback on the bonus itself is the real profit shield.</t>
        </is>
      </c>
    </row>
  </sheetData>
  <mergeCells count="15">
    <mergeCell ref="A38:F38"/>
    <mergeCell ref="A2:F2"/>
    <mergeCell ref="B7:F7"/>
    <mergeCell ref="A10:F10"/>
    <mergeCell ref="B6:F6"/>
    <mergeCell ref="A36:F36"/>
    <mergeCell ref="A1:F1"/>
    <mergeCell ref="A37:F37"/>
    <mergeCell ref="B5:F5"/>
    <mergeCell ref="A22:F22"/>
    <mergeCell ref="A34:F34"/>
    <mergeCell ref="A35:F35"/>
    <mergeCell ref="A4:F4"/>
    <mergeCell ref="B8:F8"/>
    <mergeCell ref="A39:F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9" t="inlineStr">
        <is>
          <t>Replaces the current 35-policy NB+RWR minimum with a PREMIUM-based gate: NB premium &gt;= $50,000/month AND REN premium &gt;= $50,000/month. RWR has no own minimum, but RWR bonus only pays when BOTH NB and REN gates pass that month.</t>
        </is>
      </c>
    </row>
    <row r="4">
      <c r="A4" s="5" t="inlineStr">
        <is>
          <t>WHY THESE NUMBERS - SALARY COVERAGE</t>
        </is>
      </c>
    </row>
    <row r="5" ht="40" customHeight="1">
      <c r="A5" s="28" t="inlineStr">
        <is>
          <t>The minimum should at LEAST cover the agent's salary cost to the agency. Below the minimum, the agent's production has not yet paid for themselves - bonus would come out of owner's profit. The $50,000 NB + $50,000 REN gates are calibrated to roughly that break-even point.</t>
        </is>
      </c>
    </row>
    <row r="7">
      <c r="A7" s="6" t="inlineStr">
        <is>
          <t>Step</t>
        </is>
      </c>
      <c r="B7" s="6" t="inlineStr">
        <is>
          <t>Math</t>
        </is>
      </c>
      <c r="C7" s="6" t="inlineStr">
        <is>
          <t>Number</t>
        </is>
      </c>
      <c r="D7" s="6" t="inlineStr">
        <is>
          <t>What it means</t>
        </is>
      </c>
    </row>
    <row r="8" ht="32" customHeight="1">
      <c r="A8" s="30" t="inlineStr">
        <is>
          <t>1</t>
        </is>
      </c>
      <c r="B8" s="30" t="inlineStr">
        <is>
          <t>NB minimum + REN minimum</t>
        </is>
      </c>
      <c r="C8" s="30" t="inlineStr">
        <is>
          <t>$50,000 + $50,000 = $100,000</t>
        </is>
      </c>
      <c r="D8" s="30" t="inlineStr">
        <is>
          <t>Total written premium needed to clear both gates</t>
        </is>
      </c>
    </row>
    <row r="9" ht="32" customHeight="1">
      <c r="A9" s="20" t="inlineStr">
        <is>
          <t>2</t>
        </is>
      </c>
      <c r="B9" s="20" t="inlineStr">
        <is>
          <t>x typical collection rate</t>
        </is>
      </c>
      <c r="C9" s="20" t="inlineStr">
        <is>
          <t>$100,000 x 25%</t>
        </is>
      </c>
      <c r="D9" s="20">
        <f> $25,000 collected</f>
        <v/>
      </c>
    </row>
    <row r="10" ht="32" customHeight="1">
      <c r="A10" s="30" t="inlineStr">
        <is>
          <t>3</t>
        </is>
      </c>
      <c r="B10" s="30" t="inlineStr">
        <is>
          <t>x 11% blended commission</t>
        </is>
      </c>
      <c r="C10" s="30" t="inlineStr">
        <is>
          <t>$25,000 x 11%</t>
        </is>
      </c>
      <c r="D10" s="30">
        <f> $2,750 expected commission</f>
        <v/>
      </c>
    </row>
    <row r="11" ht="32" customHeight="1">
      <c r="A11" s="20" t="inlineStr">
        <is>
          <t>4</t>
        </is>
      </c>
      <c r="B11" s="20" t="inlineStr">
        <is>
          <t>x (1 - 17.5% royalty)</t>
        </is>
      </c>
      <c r="C11" s="20" t="inlineStr">
        <is>
          <t>$2,750 x 0.825</t>
        </is>
      </c>
      <c r="D11" s="20">
        <f> $2,269 after royalty</f>
        <v/>
      </c>
    </row>
    <row r="12" ht="32" customHeight="1">
      <c r="A12" s="30" t="inlineStr">
        <is>
          <t>5</t>
        </is>
      </c>
      <c r="B12" s="30" t="inlineStr">
        <is>
          <t>vs typical agent salary cost</t>
        </is>
      </c>
      <c r="C12" s="30" t="inlineStr">
        <is>
          <t>$2,269 vs $2,500/mo</t>
        </is>
      </c>
      <c r="D12" s="30" t="inlineStr">
        <is>
          <t>At the floor, agent contributes ~$2,269. Roughly covers an entry-level salary.</t>
        </is>
      </c>
    </row>
    <row r="13" ht="32" customHeight="1">
      <c r="A13" s="20" t="inlineStr">
        <is>
          <t>6</t>
        </is>
      </c>
      <c r="B13" s="20" t="inlineStr">
        <is>
          <t>Therefore</t>
        </is>
      </c>
      <c r="C13" s="20" t="inlineStr">
        <is>
          <t>-</t>
        </is>
      </c>
      <c r="D13" s="20" t="inlineStr">
        <is>
          <t>Above this floor, agent's production has paid for itself - bonus comes out of profit, not owner's pocket. Below this floor, no bonus.</t>
        </is>
      </c>
    </row>
    <row r="15">
      <c r="A15" s="5" t="inlineStr">
        <is>
          <t>RULES</t>
        </is>
      </c>
    </row>
    <row r="16">
      <c r="A16" s="6" t="inlineStr">
        <is>
          <t>Bonus line</t>
        </is>
      </c>
      <c r="B16" s="6" t="inlineStr">
        <is>
          <t>Gate</t>
        </is>
      </c>
      <c r="C16" s="6" t="inlineStr">
        <is>
          <t>If gate passes</t>
        </is>
      </c>
      <c r="D16" s="6" t="inlineStr">
        <is>
          <t>If gate fails</t>
        </is>
      </c>
    </row>
    <row r="17" ht="30" customHeight="1">
      <c r="A17" s="32" t="inlineStr">
        <is>
          <t>NB bonus line</t>
        </is>
      </c>
      <c r="B17" s="32" t="inlineStr">
        <is>
          <t>NB written premium &gt;= $50,000 this month</t>
        </is>
      </c>
      <c r="C17" s="32" t="inlineStr">
        <is>
          <t>Pay the full NB target (from proposal rules + kicker)</t>
        </is>
      </c>
      <c r="D17" s="32" t="inlineStr">
        <is>
          <t>NB bonus = $0 this month</t>
        </is>
      </c>
    </row>
    <row r="18" ht="30" customHeight="1">
      <c r="A18" s="30" t="inlineStr">
        <is>
          <t>REN bonus line</t>
        </is>
      </c>
      <c r="B18" s="30" t="inlineStr">
        <is>
          <t>REN written premium &gt;= $50,000 this month</t>
        </is>
      </c>
      <c r="C18" s="30" t="inlineStr">
        <is>
          <t>Pay the full REN target</t>
        </is>
      </c>
      <c r="D18" s="30" t="inlineStr">
        <is>
          <t>REN bonus = $0 this month</t>
        </is>
      </c>
    </row>
    <row r="19" ht="30" customHeight="1">
      <c r="A19" s="32" t="inlineStr">
        <is>
          <t>RWR bonus line</t>
        </is>
      </c>
      <c r="B19" s="32" t="inlineStr">
        <is>
          <t>BOTH gates pass</t>
        </is>
      </c>
      <c r="C19" s="32" t="inlineStr">
        <is>
          <t>Pay the full RWR target ($2/policy x kicker)</t>
        </is>
      </c>
      <c r="D19" s="32" t="inlineStr">
        <is>
          <t>RWR bonus = $0 this month - even with 50 rewrites</t>
        </is>
      </c>
    </row>
    <row r="21">
      <c r="A21" s="5" t="inlineStr">
        <is>
          <t>WHO QUALIFIES IN REAL DATA (Jan-Apr 2026)</t>
        </is>
      </c>
    </row>
    <row r="22">
      <c r="A22" s="6" t="inlineStr">
        <is>
          <t>Agent</t>
        </is>
      </c>
      <c r="B22" s="6" t="inlineStr">
        <is>
          <t>Month</t>
        </is>
      </c>
      <c r="C22" s="6" t="inlineStr">
        <is>
          <t>NB Premium</t>
        </is>
      </c>
      <c r="D22" s="6" t="inlineStr">
        <is>
          <t>REN Premium</t>
        </is>
      </c>
      <c r="E22" s="6" t="inlineStr">
        <is>
          <t>NB Gate (&gt;=$50k)</t>
        </is>
      </c>
      <c r="F22" s="6" t="inlineStr">
        <is>
          <t>REN Gate (&gt;=$50k)</t>
        </is>
      </c>
      <c r="G22" s="6" t="inlineStr">
        <is>
          <t>RWR Gate (both)</t>
        </is>
      </c>
      <c r="H22" s="6" t="inlineStr">
        <is>
          <t>A bonus paid</t>
        </is>
      </c>
      <c r="I22" s="6" t="inlineStr">
        <is>
          <t>B bonus paid</t>
        </is>
      </c>
      <c r="J22" s="6" t="inlineStr">
        <is>
          <t>C bonus paid</t>
        </is>
      </c>
    </row>
    <row r="23">
      <c r="A23" s="20" t="inlineStr">
        <is>
          <t>Abel Guaina</t>
        </is>
      </c>
      <c r="B23" s="20" t="inlineStr">
        <is>
          <t>January</t>
        </is>
      </c>
      <c r="C23" s="22" t="n">
        <v>38611.42</v>
      </c>
      <c r="D23" s="22" t="n">
        <v>7605</v>
      </c>
      <c r="E23" s="33" t="inlineStr">
        <is>
          <t>fail</t>
        </is>
      </c>
      <c r="F23" s="33" t="inlineStr">
        <is>
          <t>fail</t>
        </is>
      </c>
      <c r="G23" s="33" t="inlineStr">
        <is>
          <t>fail</t>
        </is>
      </c>
      <c r="H23" s="22" t="n">
        <v>0</v>
      </c>
      <c r="I23" s="22" t="n">
        <v>0</v>
      </c>
      <c r="J23" s="22" t="n">
        <v>0</v>
      </c>
    </row>
    <row r="24">
      <c r="A24" s="20" t="inlineStr">
        <is>
          <t>Abel Guaina</t>
        </is>
      </c>
      <c r="B24" s="20" t="inlineStr">
        <is>
          <t>February</t>
        </is>
      </c>
      <c r="C24" s="22" t="n">
        <v>25367</v>
      </c>
      <c r="D24" s="22" t="n">
        <v>7517</v>
      </c>
      <c r="E24" s="33" t="inlineStr">
        <is>
          <t>fail</t>
        </is>
      </c>
      <c r="F24" s="33" t="inlineStr">
        <is>
          <t>fail</t>
        </is>
      </c>
      <c r="G24" s="33" t="inlineStr">
        <is>
          <t>fail</t>
        </is>
      </c>
      <c r="H24" s="22" t="n">
        <v>0</v>
      </c>
      <c r="I24" s="22" t="n">
        <v>0</v>
      </c>
      <c r="J24" s="22" t="n">
        <v>0</v>
      </c>
    </row>
    <row r="25">
      <c r="A25" s="20" t="inlineStr">
        <is>
          <t>Abel Guaina</t>
        </is>
      </c>
      <c r="B25" s="20" t="inlineStr">
        <is>
          <t>March</t>
        </is>
      </c>
      <c r="C25" s="22" t="n">
        <v>46523.37</v>
      </c>
      <c r="D25" s="22" t="n">
        <v>3901</v>
      </c>
      <c r="E25" s="33" t="inlineStr">
        <is>
          <t>fail</t>
        </is>
      </c>
      <c r="F25" s="33" t="inlineStr">
        <is>
          <t>fail</t>
        </is>
      </c>
      <c r="G25" s="33" t="inlineStr">
        <is>
          <t>fail</t>
        </is>
      </c>
      <c r="H25" s="22" t="n">
        <v>0</v>
      </c>
      <c r="I25" s="22" t="n">
        <v>0</v>
      </c>
      <c r="J25" s="22" t="n">
        <v>0</v>
      </c>
    </row>
    <row r="26">
      <c r="A26" s="20" t="inlineStr">
        <is>
          <t>Abel Guaina</t>
        </is>
      </c>
      <c r="B26" s="20" t="inlineStr">
        <is>
          <t>April</t>
        </is>
      </c>
      <c r="C26" s="22" t="n">
        <v>37825.93</v>
      </c>
      <c r="D26" s="22" t="n">
        <v>10935.99</v>
      </c>
      <c r="E26" s="33" t="inlineStr">
        <is>
          <t>fail</t>
        </is>
      </c>
      <c r="F26" s="33" t="inlineStr">
        <is>
          <t>fail</t>
        </is>
      </c>
      <c r="G26" s="33" t="inlineStr">
        <is>
          <t>fail</t>
        </is>
      </c>
      <c r="H26" s="22" t="n">
        <v>0</v>
      </c>
      <c r="I26" s="22" t="n">
        <v>0</v>
      </c>
      <c r="J26" s="22" t="n">
        <v>0</v>
      </c>
    </row>
    <row r="27">
      <c r="A27" s="20" t="inlineStr">
        <is>
          <t>Dialinerys Dieguez</t>
        </is>
      </c>
      <c r="B27" s="20" t="inlineStr">
        <is>
          <t>January</t>
        </is>
      </c>
      <c r="C27" s="22" t="n">
        <v>40249.26</v>
      </c>
      <c r="D27" s="22" t="n">
        <v>12530.47</v>
      </c>
      <c r="E27" s="33" t="inlineStr">
        <is>
          <t>fail</t>
        </is>
      </c>
      <c r="F27" s="33" t="inlineStr">
        <is>
          <t>fail</t>
        </is>
      </c>
      <c r="G27" s="33" t="inlineStr">
        <is>
          <t>fail</t>
        </is>
      </c>
      <c r="H27" s="22" t="n">
        <v>0</v>
      </c>
      <c r="I27" s="22" t="n">
        <v>0</v>
      </c>
      <c r="J27" s="22" t="n">
        <v>0</v>
      </c>
    </row>
    <row r="28">
      <c r="A28" s="20" t="inlineStr">
        <is>
          <t>Dialinerys Dieguez</t>
        </is>
      </c>
      <c r="B28" s="20" t="inlineStr">
        <is>
          <t>February</t>
        </is>
      </c>
      <c r="C28" s="22" t="n">
        <v>30057.89</v>
      </c>
      <c r="D28" s="22" t="n">
        <v>11629.68</v>
      </c>
      <c r="E28" s="33" t="inlineStr">
        <is>
          <t>fail</t>
        </is>
      </c>
      <c r="F28" s="33" t="inlineStr">
        <is>
          <t>fail</t>
        </is>
      </c>
      <c r="G28" s="33" t="inlineStr">
        <is>
          <t>fail</t>
        </is>
      </c>
      <c r="H28" s="22" t="n">
        <v>0</v>
      </c>
      <c r="I28" s="22" t="n">
        <v>0</v>
      </c>
      <c r="J28" s="22" t="n">
        <v>0</v>
      </c>
    </row>
    <row r="29">
      <c r="A29" s="20" t="inlineStr">
        <is>
          <t>Dialinerys Dieguez</t>
        </is>
      </c>
      <c r="B29" s="20" t="inlineStr">
        <is>
          <t>March</t>
        </is>
      </c>
      <c r="C29" s="22" t="n">
        <v>52434.9</v>
      </c>
      <c r="D29" s="22" t="n">
        <v>5962.5</v>
      </c>
      <c r="E29" s="34" t="inlineStr">
        <is>
          <t>PASS</t>
        </is>
      </c>
      <c r="F29" s="33" t="inlineStr">
        <is>
          <t>fail</t>
        </is>
      </c>
      <c r="G29" s="33" t="inlineStr">
        <is>
          <t>fail</t>
        </is>
      </c>
      <c r="H29" s="22" t="n">
        <v>292.6</v>
      </c>
      <c r="I29" s="22" t="n">
        <v>491.15</v>
      </c>
      <c r="J29" s="22" t="n">
        <v>334.4</v>
      </c>
    </row>
    <row r="30">
      <c r="A30" s="20" t="inlineStr">
        <is>
          <t>Dialinerys Dieguez</t>
        </is>
      </c>
      <c r="B30" s="20" t="inlineStr">
        <is>
          <t>April</t>
        </is>
      </c>
      <c r="C30" s="22" t="n">
        <v>49689.35</v>
      </c>
      <c r="D30" s="22" t="n">
        <v>19575</v>
      </c>
      <c r="E30" s="33" t="inlineStr">
        <is>
          <t>fail</t>
        </is>
      </c>
      <c r="F30" s="33" t="inlineStr">
        <is>
          <t>fail</t>
        </is>
      </c>
      <c r="G30" s="33" t="inlineStr">
        <is>
          <t>fail</t>
        </is>
      </c>
      <c r="H30" s="22" t="n">
        <v>0</v>
      </c>
      <c r="I30" s="22" t="n">
        <v>0</v>
      </c>
      <c r="J30" s="22" t="n">
        <v>0</v>
      </c>
    </row>
    <row r="31">
      <c r="A31" s="20" t="inlineStr">
        <is>
          <t>Melissa Hernandez</t>
        </is>
      </c>
      <c r="B31" s="20" t="inlineStr">
        <is>
          <t>January</t>
        </is>
      </c>
      <c r="C31" s="22" t="n">
        <v>37039</v>
      </c>
      <c r="D31" s="22" t="n">
        <v>0</v>
      </c>
      <c r="E31" s="33" t="inlineStr">
        <is>
          <t>fail</t>
        </is>
      </c>
      <c r="F31" s="33" t="inlineStr">
        <is>
          <t>fail</t>
        </is>
      </c>
      <c r="G31" s="33" t="inlineStr">
        <is>
          <t>fail</t>
        </is>
      </c>
      <c r="H31" s="22" t="n">
        <v>0</v>
      </c>
      <c r="I31" s="22" t="n">
        <v>0</v>
      </c>
      <c r="J31" s="22" t="n">
        <v>0</v>
      </c>
    </row>
    <row r="32">
      <c r="A32" s="20" t="inlineStr">
        <is>
          <t>Melissa Hernandez</t>
        </is>
      </c>
      <c r="B32" s="20" t="inlineStr">
        <is>
          <t>February</t>
        </is>
      </c>
      <c r="C32" s="22" t="n">
        <v>7659.5</v>
      </c>
      <c r="D32" s="22" t="n">
        <v>1063</v>
      </c>
      <c r="E32" s="33" t="inlineStr">
        <is>
          <t>fail</t>
        </is>
      </c>
      <c r="F32" s="33" t="inlineStr">
        <is>
          <t>fail</t>
        </is>
      </c>
      <c r="G32" s="33" t="inlineStr">
        <is>
          <t>fail</t>
        </is>
      </c>
      <c r="H32" s="22" t="n">
        <v>0</v>
      </c>
      <c r="I32" s="22" t="n">
        <v>0</v>
      </c>
      <c r="J32" s="22" t="n">
        <v>0</v>
      </c>
    </row>
    <row r="33">
      <c r="A33" s="20" t="inlineStr">
        <is>
          <t>Melissa Hernandez</t>
        </is>
      </c>
      <c r="B33" s="20" t="inlineStr">
        <is>
          <t>March</t>
        </is>
      </c>
      <c r="C33" s="22" t="n">
        <v>39759.7</v>
      </c>
      <c r="D33" s="22" t="n">
        <v>1034</v>
      </c>
      <c r="E33" s="33" t="inlineStr">
        <is>
          <t>fail</t>
        </is>
      </c>
      <c r="F33" s="33" t="inlineStr">
        <is>
          <t>fail</t>
        </is>
      </c>
      <c r="G33" s="33" t="inlineStr">
        <is>
          <t>fail</t>
        </is>
      </c>
      <c r="H33" s="22" t="n">
        <v>0</v>
      </c>
      <c r="I33" s="22" t="n">
        <v>0</v>
      </c>
      <c r="J33" s="22" t="n">
        <v>0</v>
      </c>
    </row>
    <row r="34">
      <c r="A34" s="20" t="inlineStr">
        <is>
          <t>Melissa Hernandez</t>
        </is>
      </c>
      <c r="B34" s="20" t="inlineStr">
        <is>
          <t>April</t>
        </is>
      </c>
      <c r="C34" s="22" t="n">
        <v>19288.35</v>
      </c>
      <c r="D34" s="22" t="n">
        <v>0</v>
      </c>
      <c r="E34" s="33" t="inlineStr">
        <is>
          <t>fail</t>
        </is>
      </c>
      <c r="F34" s="33" t="inlineStr">
        <is>
          <t>fail</t>
        </is>
      </c>
      <c r="G34" s="33" t="inlineStr">
        <is>
          <t>fail</t>
        </is>
      </c>
      <c r="H34" s="22" t="n">
        <v>0</v>
      </c>
      <c r="I34" s="22" t="n">
        <v>0</v>
      </c>
      <c r="J34" s="22" t="n">
        <v>0</v>
      </c>
    </row>
    <row r="35">
      <c r="A35" s="20" t="inlineStr">
        <is>
          <t>Flavia Parra</t>
        </is>
      </c>
      <c r="B35" s="20" t="inlineStr">
        <is>
          <t>January</t>
        </is>
      </c>
      <c r="C35" s="22" t="n">
        <v>28525.05</v>
      </c>
      <c r="D35" s="22" t="n">
        <v>1464.35</v>
      </c>
      <c r="E35" s="33" t="inlineStr">
        <is>
          <t>fail</t>
        </is>
      </c>
      <c r="F35" s="33" t="inlineStr">
        <is>
          <t>fail</t>
        </is>
      </c>
      <c r="G35" s="33" t="inlineStr">
        <is>
          <t>fail</t>
        </is>
      </c>
      <c r="H35" s="22" t="n">
        <v>0</v>
      </c>
      <c r="I35" s="22" t="n">
        <v>0</v>
      </c>
      <c r="J35" s="22" t="n">
        <v>0</v>
      </c>
    </row>
    <row r="36">
      <c r="A36" s="20" t="inlineStr">
        <is>
          <t>Flavia Parra</t>
        </is>
      </c>
      <c r="B36" s="20" t="inlineStr">
        <is>
          <t>February</t>
        </is>
      </c>
      <c r="C36" s="22" t="n">
        <v>22247.7</v>
      </c>
      <c r="D36" s="22" t="n">
        <v>2099</v>
      </c>
      <c r="E36" s="33" t="inlineStr">
        <is>
          <t>fail</t>
        </is>
      </c>
      <c r="F36" s="33" t="inlineStr">
        <is>
          <t>fail</t>
        </is>
      </c>
      <c r="G36" s="33" t="inlineStr">
        <is>
          <t>fail</t>
        </is>
      </c>
      <c r="H36" s="22" t="n">
        <v>0</v>
      </c>
      <c r="I36" s="22" t="n">
        <v>0</v>
      </c>
      <c r="J36" s="22" t="n">
        <v>0</v>
      </c>
    </row>
    <row r="37">
      <c r="A37" s="20" t="inlineStr">
        <is>
          <t>Flavia Parra</t>
        </is>
      </c>
      <c r="B37" s="20" t="inlineStr">
        <is>
          <t>March</t>
        </is>
      </c>
      <c r="C37" s="22" t="n">
        <v>31269</v>
      </c>
      <c r="D37" s="22" t="n">
        <v>0</v>
      </c>
      <c r="E37" s="33" t="inlineStr">
        <is>
          <t>fail</t>
        </is>
      </c>
      <c r="F37" s="33" t="inlineStr">
        <is>
          <t>fail</t>
        </is>
      </c>
      <c r="G37" s="33" t="inlineStr">
        <is>
          <t>fail</t>
        </is>
      </c>
      <c r="H37" s="22" t="n">
        <v>0</v>
      </c>
      <c r="I37" s="22" t="n">
        <v>0</v>
      </c>
      <c r="J37" s="22" t="n">
        <v>0</v>
      </c>
    </row>
    <row r="38">
      <c r="A38" s="20" t="inlineStr">
        <is>
          <t>Flavia Parra</t>
        </is>
      </c>
      <c r="B38" s="20" t="inlineStr">
        <is>
          <t>April</t>
        </is>
      </c>
      <c r="C38" s="22" t="n">
        <v>29581.05</v>
      </c>
      <c r="D38" s="22" t="n">
        <v>885</v>
      </c>
      <c r="E38" s="33" t="inlineStr">
        <is>
          <t>fail</t>
        </is>
      </c>
      <c r="F38" s="33" t="inlineStr">
        <is>
          <t>fail</t>
        </is>
      </c>
      <c r="G38" s="33" t="inlineStr">
        <is>
          <t>fail</t>
        </is>
      </c>
      <c r="H38" s="22" t="n">
        <v>0</v>
      </c>
      <c r="I38" s="22" t="n">
        <v>0</v>
      </c>
      <c r="J38" s="22" t="n">
        <v>0</v>
      </c>
    </row>
    <row r="39">
      <c r="A39" s="20" t="inlineStr">
        <is>
          <t>Thalia Rojas</t>
        </is>
      </c>
      <c r="B39" s="20" t="inlineStr">
        <is>
          <t>January</t>
        </is>
      </c>
      <c r="C39" s="22" t="n">
        <v>15503.9</v>
      </c>
      <c r="D39" s="22" t="n">
        <v>3690</v>
      </c>
      <c r="E39" s="33" t="inlineStr">
        <is>
          <t>fail</t>
        </is>
      </c>
      <c r="F39" s="33" t="inlineStr">
        <is>
          <t>fail</t>
        </is>
      </c>
      <c r="G39" s="33" t="inlineStr">
        <is>
          <t>fail</t>
        </is>
      </c>
      <c r="H39" s="22" t="n">
        <v>0</v>
      </c>
      <c r="I39" s="22" t="n">
        <v>0</v>
      </c>
      <c r="J39" s="22" t="n">
        <v>0</v>
      </c>
    </row>
    <row r="40">
      <c r="A40" s="20" t="inlineStr">
        <is>
          <t>Thalia Rojas</t>
        </is>
      </c>
      <c r="B40" s="20" t="inlineStr">
        <is>
          <t>February</t>
        </is>
      </c>
      <c r="C40" s="22" t="n">
        <v>19414.25</v>
      </c>
      <c r="D40" s="22" t="n">
        <v>7446</v>
      </c>
      <c r="E40" s="33" t="inlineStr">
        <is>
          <t>fail</t>
        </is>
      </c>
      <c r="F40" s="33" t="inlineStr">
        <is>
          <t>fail</t>
        </is>
      </c>
      <c r="G40" s="33" t="inlineStr">
        <is>
          <t>fail</t>
        </is>
      </c>
      <c r="H40" s="22" t="n">
        <v>0</v>
      </c>
      <c r="I40" s="22" t="n">
        <v>0</v>
      </c>
      <c r="J40" s="22" t="n">
        <v>0</v>
      </c>
    </row>
    <row r="41">
      <c r="A41" s="20" t="inlineStr">
        <is>
          <t>Thalia Rojas</t>
        </is>
      </c>
      <c r="B41" s="20" t="inlineStr">
        <is>
          <t>March</t>
        </is>
      </c>
      <c r="C41" s="22" t="n">
        <v>17843.69</v>
      </c>
      <c r="D41" s="22" t="n">
        <v>5643.9</v>
      </c>
      <c r="E41" s="33" t="inlineStr">
        <is>
          <t>fail</t>
        </is>
      </c>
      <c r="F41" s="33" t="inlineStr">
        <is>
          <t>fail</t>
        </is>
      </c>
      <c r="G41" s="33" t="inlineStr">
        <is>
          <t>fail</t>
        </is>
      </c>
      <c r="H41" s="22" t="n">
        <v>0</v>
      </c>
      <c r="I41" s="22" t="n">
        <v>0</v>
      </c>
      <c r="J41" s="22" t="n">
        <v>0</v>
      </c>
    </row>
    <row r="42">
      <c r="A42" s="20" t="inlineStr">
        <is>
          <t>Thalia Rojas</t>
        </is>
      </c>
      <c r="B42" s="20" t="inlineStr">
        <is>
          <t>April</t>
        </is>
      </c>
      <c r="C42" s="22" t="n">
        <v>14099</v>
      </c>
      <c r="D42" s="22" t="n">
        <v>3617</v>
      </c>
      <c r="E42" s="33" t="inlineStr">
        <is>
          <t>fail</t>
        </is>
      </c>
      <c r="F42" s="33" t="inlineStr">
        <is>
          <t>fail</t>
        </is>
      </c>
      <c r="G42" s="33" t="inlineStr">
        <is>
          <t>fail</t>
        </is>
      </c>
      <c r="H42" s="22" t="n">
        <v>0</v>
      </c>
      <c r="I42" s="22" t="n">
        <v>0</v>
      </c>
      <c r="J42" s="22" t="n">
        <v>0</v>
      </c>
    </row>
    <row r="43">
      <c r="A43" s="20" t="inlineStr">
        <is>
          <t>Monica Valdes</t>
        </is>
      </c>
      <c r="B43" s="20" t="inlineStr">
        <is>
          <t>January</t>
        </is>
      </c>
      <c r="C43" s="22" t="n">
        <v>28605.29</v>
      </c>
      <c r="D43" s="22" t="n">
        <v>6502.91</v>
      </c>
      <c r="E43" s="33" t="inlineStr">
        <is>
          <t>fail</t>
        </is>
      </c>
      <c r="F43" s="33" t="inlineStr">
        <is>
          <t>fail</t>
        </is>
      </c>
      <c r="G43" s="33" t="inlineStr">
        <is>
          <t>fail</t>
        </is>
      </c>
      <c r="H43" s="22" t="n">
        <v>0</v>
      </c>
      <c r="I43" s="22" t="n">
        <v>0</v>
      </c>
      <c r="J43" s="22" t="n">
        <v>0</v>
      </c>
    </row>
    <row r="44">
      <c r="A44" s="20" t="inlineStr">
        <is>
          <t>Monica Valdes</t>
        </is>
      </c>
      <c r="B44" s="20" t="inlineStr">
        <is>
          <t>February</t>
        </is>
      </c>
      <c r="C44" s="22" t="n">
        <v>31516.95</v>
      </c>
      <c r="D44" s="22" t="n">
        <v>3092</v>
      </c>
      <c r="E44" s="33" t="inlineStr">
        <is>
          <t>fail</t>
        </is>
      </c>
      <c r="F44" s="33" t="inlineStr">
        <is>
          <t>fail</t>
        </is>
      </c>
      <c r="G44" s="33" t="inlineStr">
        <is>
          <t>fail</t>
        </is>
      </c>
      <c r="H44" s="22" t="n">
        <v>0</v>
      </c>
      <c r="I44" s="22" t="n">
        <v>0</v>
      </c>
      <c r="J44" s="22" t="n">
        <v>0</v>
      </c>
    </row>
    <row r="45">
      <c r="A45" s="20" t="inlineStr">
        <is>
          <t>Monica Valdes</t>
        </is>
      </c>
      <c r="B45" s="20" t="inlineStr">
        <is>
          <t>March</t>
        </is>
      </c>
      <c r="C45" s="22" t="n">
        <v>68546.22</v>
      </c>
      <c r="D45" s="22" t="n">
        <v>0</v>
      </c>
      <c r="E45" s="34" t="inlineStr">
        <is>
          <t>PASS</t>
        </is>
      </c>
      <c r="F45" s="33" t="inlineStr">
        <is>
          <t>fail</t>
        </is>
      </c>
      <c r="G45" s="33" t="inlineStr">
        <is>
          <t>fail</t>
        </is>
      </c>
      <c r="H45" s="22" t="n">
        <v>356.4</v>
      </c>
      <c r="I45" s="22" t="n">
        <v>465.3</v>
      </c>
      <c r="J45" s="22" t="n">
        <v>316.8</v>
      </c>
    </row>
    <row r="46">
      <c r="A46" s="20" t="inlineStr">
        <is>
          <t>Monica Valdes</t>
        </is>
      </c>
      <c r="B46" s="20" t="inlineStr">
        <is>
          <t>April</t>
        </is>
      </c>
      <c r="C46" s="22" t="n">
        <v>29755.49</v>
      </c>
      <c r="D46" s="22" t="n">
        <v>2514</v>
      </c>
      <c r="E46" s="33" t="inlineStr">
        <is>
          <t>fail</t>
        </is>
      </c>
      <c r="F46" s="33" t="inlineStr">
        <is>
          <t>fail</t>
        </is>
      </c>
      <c r="G46" s="33" t="inlineStr">
        <is>
          <t>fail</t>
        </is>
      </c>
      <c r="H46" s="22" t="n">
        <v>0</v>
      </c>
      <c r="I46" s="22" t="n">
        <v>0</v>
      </c>
      <c r="J46" s="22" t="n">
        <v>0</v>
      </c>
    </row>
    <row r="49">
      <c r="A49" s="5" t="inlineStr">
        <is>
          <t>WHO QUALIFIES IF 50% OF RWR BECOMES REN</t>
        </is>
      </c>
    </row>
    <row r="50">
      <c r="A50" s="6" t="inlineStr">
        <is>
          <t>Agent</t>
        </is>
      </c>
      <c r="B50" s="6" t="inlineStr">
        <is>
          <t>Month</t>
        </is>
      </c>
      <c r="C50" s="6" t="inlineStr">
        <is>
          <t>NB Premium</t>
        </is>
      </c>
      <c r="D50" s="6" t="inlineStr">
        <is>
          <t>REN Premium</t>
        </is>
      </c>
      <c r="E50" s="6" t="inlineStr">
        <is>
          <t>NB Gate (&gt;=$50k)</t>
        </is>
      </c>
      <c r="F50" s="6" t="inlineStr">
        <is>
          <t>REN Gate (&gt;=$50k)</t>
        </is>
      </c>
      <c r="G50" s="6" t="inlineStr">
        <is>
          <t>RWR Gate (both)</t>
        </is>
      </c>
      <c r="H50" s="6" t="inlineStr">
        <is>
          <t>A bonus paid</t>
        </is>
      </c>
      <c r="I50" s="6" t="inlineStr">
        <is>
          <t>B bonus paid</t>
        </is>
      </c>
      <c r="J50" s="6" t="inlineStr">
        <is>
          <t>C bonus paid</t>
        </is>
      </c>
    </row>
    <row r="51">
      <c r="A51" s="20" t="inlineStr">
        <is>
          <t>Abel Guaina</t>
        </is>
      </c>
      <c r="B51" s="20" t="inlineStr">
        <is>
          <t>January</t>
        </is>
      </c>
      <c r="C51" s="22" t="n">
        <v>38611.42</v>
      </c>
      <c r="D51" s="22" t="n">
        <v>21364.25</v>
      </c>
      <c r="E51" s="33" t="inlineStr">
        <is>
          <t>fail</t>
        </is>
      </c>
      <c r="F51" s="33" t="inlineStr">
        <is>
          <t>fail</t>
        </is>
      </c>
      <c r="G51" s="33" t="inlineStr">
        <is>
          <t>fail</t>
        </is>
      </c>
      <c r="H51" s="22" t="n">
        <v>0</v>
      </c>
      <c r="I51" s="22" t="n">
        <v>0</v>
      </c>
      <c r="J51" s="22" t="n">
        <v>0</v>
      </c>
    </row>
    <row r="52">
      <c r="A52" s="20" t="inlineStr">
        <is>
          <t>Abel Guaina</t>
        </is>
      </c>
      <c r="B52" s="20" t="inlineStr">
        <is>
          <t>February</t>
        </is>
      </c>
      <c r="C52" s="22" t="n">
        <v>25367</v>
      </c>
      <c r="D52" s="22" t="n">
        <v>22838.5</v>
      </c>
      <c r="E52" s="33" t="inlineStr">
        <is>
          <t>fail</t>
        </is>
      </c>
      <c r="F52" s="33" t="inlineStr">
        <is>
          <t>fail</t>
        </is>
      </c>
      <c r="G52" s="33" t="inlineStr">
        <is>
          <t>fail</t>
        </is>
      </c>
      <c r="H52" s="22" t="n">
        <v>0</v>
      </c>
      <c r="I52" s="22" t="n">
        <v>0</v>
      </c>
      <c r="J52" s="22" t="n">
        <v>0</v>
      </c>
    </row>
    <row r="53">
      <c r="A53" s="20" t="inlineStr">
        <is>
          <t>Abel Guaina</t>
        </is>
      </c>
      <c r="B53" s="20" t="inlineStr">
        <is>
          <t>March</t>
        </is>
      </c>
      <c r="C53" s="22" t="n">
        <v>46523.37</v>
      </c>
      <c r="D53" s="22" t="n">
        <v>16514.8</v>
      </c>
      <c r="E53" s="33" t="inlineStr">
        <is>
          <t>fail</t>
        </is>
      </c>
      <c r="F53" s="33" t="inlineStr">
        <is>
          <t>fail</t>
        </is>
      </c>
      <c r="G53" s="33" t="inlineStr">
        <is>
          <t>fail</t>
        </is>
      </c>
      <c r="H53" s="22" t="n">
        <v>0</v>
      </c>
      <c r="I53" s="22" t="n">
        <v>0</v>
      </c>
      <c r="J53" s="22" t="n">
        <v>0</v>
      </c>
    </row>
    <row r="54">
      <c r="A54" s="20" t="inlineStr">
        <is>
          <t>Abel Guaina</t>
        </is>
      </c>
      <c r="B54" s="20" t="inlineStr">
        <is>
          <t>April</t>
        </is>
      </c>
      <c r="C54" s="22" t="n">
        <v>37825.93</v>
      </c>
      <c r="D54" s="22" t="n">
        <v>18616.965</v>
      </c>
      <c r="E54" s="33" t="inlineStr">
        <is>
          <t>fail</t>
        </is>
      </c>
      <c r="F54" s="33" t="inlineStr">
        <is>
          <t>fail</t>
        </is>
      </c>
      <c r="G54" s="33" t="inlineStr">
        <is>
          <t>fail</t>
        </is>
      </c>
      <c r="H54" s="22" t="n">
        <v>0</v>
      </c>
      <c r="I54" s="22" t="n">
        <v>0</v>
      </c>
      <c r="J54" s="22" t="n">
        <v>0</v>
      </c>
    </row>
    <row r="55">
      <c r="A55" s="20" t="inlineStr">
        <is>
          <t>Dialinerys Dieguez</t>
        </is>
      </c>
      <c r="B55" s="20" t="inlineStr">
        <is>
          <t>January</t>
        </is>
      </c>
      <c r="C55" s="22" t="n">
        <v>40249.26</v>
      </c>
      <c r="D55" s="22" t="n">
        <v>45368.16</v>
      </c>
      <c r="E55" s="33" t="inlineStr">
        <is>
          <t>fail</t>
        </is>
      </c>
      <c r="F55" s="33" t="inlineStr">
        <is>
          <t>fail</t>
        </is>
      </c>
      <c r="G55" s="33" t="inlineStr">
        <is>
          <t>fail</t>
        </is>
      </c>
      <c r="H55" s="22" t="n">
        <v>0</v>
      </c>
      <c r="I55" s="22" t="n">
        <v>0</v>
      </c>
      <c r="J55" s="22" t="n">
        <v>0</v>
      </c>
    </row>
    <row r="56">
      <c r="A56" s="20" t="inlineStr">
        <is>
          <t>Dialinerys Dieguez</t>
        </is>
      </c>
      <c r="B56" s="20" t="inlineStr">
        <is>
          <t>February</t>
        </is>
      </c>
      <c r="C56" s="22" t="n">
        <v>30057.89</v>
      </c>
      <c r="D56" s="22" t="n">
        <v>54401.98</v>
      </c>
      <c r="E56" s="33" t="inlineStr">
        <is>
          <t>fail</t>
        </is>
      </c>
      <c r="F56" s="34" t="inlineStr">
        <is>
          <t>PASS</t>
        </is>
      </c>
      <c r="G56" s="33" t="inlineStr">
        <is>
          <t>fail</t>
        </is>
      </c>
      <c r="H56" s="22" t="n">
        <v>203.5</v>
      </c>
      <c r="I56" s="22" t="n">
        <v>280.83</v>
      </c>
      <c r="J56" s="22" t="n">
        <v>325.6</v>
      </c>
    </row>
    <row r="57">
      <c r="A57" s="20" t="inlineStr">
        <is>
          <t>Dialinerys Dieguez</t>
        </is>
      </c>
      <c r="B57" s="20" t="inlineStr">
        <is>
          <t>March</t>
        </is>
      </c>
      <c r="C57" s="22" t="n">
        <v>52434.9</v>
      </c>
      <c r="D57" s="22" t="n">
        <v>54076.675</v>
      </c>
      <c r="E57" s="34" t="inlineStr">
        <is>
          <t>PASS</t>
        </is>
      </c>
      <c r="F57" s="34" t="inlineStr">
        <is>
          <t>PASS</t>
        </is>
      </c>
      <c r="G57" s="34" t="inlineStr">
        <is>
          <t>PASS</t>
        </is>
      </c>
      <c r="H57" s="22" t="n">
        <v>595.1</v>
      </c>
      <c r="I57" s="22" t="n">
        <v>879.34</v>
      </c>
      <c r="J57" s="22" t="n">
        <v>733.7</v>
      </c>
    </row>
    <row r="58">
      <c r="A58" s="20" t="inlineStr">
        <is>
          <t>Dialinerys Dieguez</t>
        </is>
      </c>
      <c r="B58" s="20" t="inlineStr">
        <is>
          <t>April</t>
        </is>
      </c>
      <c r="C58" s="22" t="n">
        <v>49689.35</v>
      </c>
      <c r="D58" s="22" t="n">
        <v>51657.715</v>
      </c>
      <c r="E58" s="33" t="inlineStr">
        <is>
          <t>fail</t>
        </is>
      </c>
      <c r="F58" s="34" t="inlineStr">
        <is>
          <t>PASS</t>
        </is>
      </c>
      <c r="G58" s="33" t="inlineStr">
        <is>
          <t>fail</t>
        </is>
      </c>
      <c r="H58" s="22" t="n">
        <v>158.4</v>
      </c>
      <c r="I58" s="22" t="n">
        <v>182.16</v>
      </c>
      <c r="J58" s="22" t="n">
        <v>211.2</v>
      </c>
    </row>
    <row r="59">
      <c r="A59" s="20" t="inlineStr">
        <is>
          <t>Melissa Hernandez</t>
        </is>
      </c>
      <c r="B59" s="20" t="inlineStr">
        <is>
          <t>January</t>
        </is>
      </c>
      <c r="C59" s="22" t="n">
        <v>37039</v>
      </c>
      <c r="D59" s="22" t="n">
        <v>31687.25</v>
      </c>
      <c r="E59" s="33" t="inlineStr">
        <is>
          <t>fail</t>
        </is>
      </c>
      <c r="F59" s="33" t="inlineStr">
        <is>
          <t>fail</t>
        </is>
      </c>
      <c r="G59" s="33" t="inlineStr">
        <is>
          <t>fail</t>
        </is>
      </c>
      <c r="H59" s="22" t="n">
        <v>0</v>
      </c>
      <c r="I59" s="22" t="n">
        <v>0</v>
      </c>
      <c r="J59" s="22" t="n">
        <v>0</v>
      </c>
    </row>
    <row r="60">
      <c r="A60" s="20" t="inlineStr">
        <is>
          <t>Melissa Hernandez</t>
        </is>
      </c>
      <c r="B60" s="20" t="inlineStr">
        <is>
          <t>February</t>
        </is>
      </c>
      <c r="C60" s="22" t="n">
        <v>7659.5</v>
      </c>
      <c r="D60" s="22" t="n">
        <v>26058.35</v>
      </c>
      <c r="E60" s="33" t="inlineStr">
        <is>
          <t>fail</t>
        </is>
      </c>
      <c r="F60" s="33" t="inlineStr">
        <is>
          <t>fail</t>
        </is>
      </c>
      <c r="G60" s="33" t="inlineStr">
        <is>
          <t>fail</t>
        </is>
      </c>
      <c r="H60" s="22" t="n">
        <v>0</v>
      </c>
      <c r="I60" s="22" t="n">
        <v>0</v>
      </c>
      <c r="J60" s="22" t="n">
        <v>0</v>
      </c>
    </row>
    <row r="61">
      <c r="A61" s="20" t="inlineStr">
        <is>
          <t>Melissa Hernandez</t>
        </is>
      </c>
      <c r="B61" s="20" t="inlineStr">
        <is>
          <t>March</t>
        </is>
      </c>
      <c r="C61" s="22" t="n">
        <v>39759.7</v>
      </c>
      <c r="D61" s="22" t="n">
        <v>29464.3</v>
      </c>
      <c r="E61" s="33" t="inlineStr">
        <is>
          <t>fail</t>
        </is>
      </c>
      <c r="F61" s="33" t="inlineStr">
        <is>
          <t>fail</t>
        </is>
      </c>
      <c r="G61" s="33" t="inlineStr">
        <is>
          <t>fail</t>
        </is>
      </c>
      <c r="H61" s="22" t="n">
        <v>0</v>
      </c>
      <c r="I61" s="22" t="n">
        <v>0</v>
      </c>
      <c r="J61" s="22" t="n">
        <v>0</v>
      </c>
    </row>
    <row r="62">
      <c r="A62" s="20" t="inlineStr">
        <is>
          <t>Melissa Hernandez</t>
        </is>
      </c>
      <c r="B62" s="20" t="inlineStr">
        <is>
          <t>April</t>
        </is>
      </c>
      <c r="C62" s="22" t="n">
        <v>19288.35</v>
      </c>
      <c r="D62" s="22" t="n">
        <v>21698.1</v>
      </c>
      <c r="E62" s="33" t="inlineStr">
        <is>
          <t>fail</t>
        </is>
      </c>
      <c r="F62" s="33" t="inlineStr">
        <is>
          <t>fail</t>
        </is>
      </c>
      <c r="G62" s="33" t="inlineStr">
        <is>
          <t>fail</t>
        </is>
      </c>
      <c r="H62" s="22" t="n">
        <v>0</v>
      </c>
      <c r="I62" s="22" t="n">
        <v>0</v>
      </c>
      <c r="J62" s="22" t="n">
        <v>0</v>
      </c>
    </row>
    <row r="63">
      <c r="A63" s="20" t="inlineStr">
        <is>
          <t>Flavia Parra</t>
        </is>
      </c>
      <c r="B63" s="20" t="inlineStr">
        <is>
          <t>January</t>
        </is>
      </c>
      <c r="C63" s="22" t="n">
        <v>28525.05</v>
      </c>
      <c r="D63" s="22" t="n">
        <v>21243.375</v>
      </c>
      <c r="E63" s="33" t="inlineStr">
        <is>
          <t>fail</t>
        </is>
      </c>
      <c r="F63" s="33" t="inlineStr">
        <is>
          <t>fail</t>
        </is>
      </c>
      <c r="G63" s="33" t="inlineStr">
        <is>
          <t>fail</t>
        </is>
      </c>
      <c r="H63" s="22" t="n">
        <v>0</v>
      </c>
      <c r="I63" s="22" t="n">
        <v>0</v>
      </c>
      <c r="J63" s="22" t="n">
        <v>0</v>
      </c>
    </row>
    <row r="64">
      <c r="A64" s="20" t="inlineStr">
        <is>
          <t>Flavia Parra</t>
        </is>
      </c>
      <c r="B64" s="20" t="inlineStr">
        <is>
          <t>February</t>
        </is>
      </c>
      <c r="C64" s="22" t="n">
        <v>22247.7</v>
      </c>
      <c r="D64" s="22" t="n">
        <v>23942.725</v>
      </c>
      <c r="E64" s="33" t="inlineStr">
        <is>
          <t>fail</t>
        </is>
      </c>
      <c r="F64" s="33" t="inlineStr">
        <is>
          <t>fail</t>
        </is>
      </c>
      <c r="G64" s="33" t="inlineStr">
        <is>
          <t>fail</t>
        </is>
      </c>
      <c r="H64" s="22" t="n">
        <v>0</v>
      </c>
      <c r="I64" s="22" t="n">
        <v>0</v>
      </c>
      <c r="J64" s="22" t="n">
        <v>0</v>
      </c>
    </row>
    <row r="65">
      <c r="A65" s="20" t="inlineStr">
        <is>
          <t>Flavia Parra</t>
        </is>
      </c>
      <c r="B65" s="20" t="inlineStr">
        <is>
          <t>March</t>
        </is>
      </c>
      <c r="C65" s="22" t="n">
        <v>31269</v>
      </c>
      <c r="D65" s="22" t="n">
        <v>11763.35</v>
      </c>
      <c r="E65" s="33" t="inlineStr">
        <is>
          <t>fail</t>
        </is>
      </c>
      <c r="F65" s="33" t="inlineStr">
        <is>
          <t>fail</t>
        </is>
      </c>
      <c r="G65" s="33" t="inlineStr">
        <is>
          <t>fail</t>
        </is>
      </c>
      <c r="H65" s="22" t="n">
        <v>0</v>
      </c>
      <c r="I65" s="22" t="n">
        <v>0</v>
      </c>
      <c r="J65" s="22" t="n">
        <v>0</v>
      </c>
    </row>
    <row r="66">
      <c r="A66" s="20" t="inlineStr">
        <is>
          <t>Flavia Parra</t>
        </is>
      </c>
      <c r="B66" s="20" t="inlineStr">
        <is>
          <t>April</t>
        </is>
      </c>
      <c r="C66" s="22" t="n">
        <v>29581.05</v>
      </c>
      <c r="D66" s="22" t="n">
        <v>16301.38</v>
      </c>
      <c r="E66" s="33" t="inlineStr">
        <is>
          <t>fail</t>
        </is>
      </c>
      <c r="F66" s="33" t="inlineStr">
        <is>
          <t>fail</t>
        </is>
      </c>
      <c r="G66" s="33" t="inlineStr">
        <is>
          <t>fail</t>
        </is>
      </c>
      <c r="H66" s="22" t="n">
        <v>0</v>
      </c>
      <c r="I66" s="22" t="n">
        <v>0</v>
      </c>
      <c r="J66" s="22" t="n">
        <v>0</v>
      </c>
    </row>
    <row r="67">
      <c r="A67" s="20" t="inlineStr">
        <is>
          <t>Thalia Rojas</t>
        </is>
      </c>
      <c r="B67" s="20" t="inlineStr">
        <is>
          <t>January</t>
        </is>
      </c>
      <c r="C67" s="22" t="n">
        <v>15503.9</v>
      </c>
      <c r="D67" s="22" t="n">
        <v>20231.965</v>
      </c>
      <c r="E67" s="33" t="inlineStr">
        <is>
          <t>fail</t>
        </is>
      </c>
      <c r="F67" s="33" t="inlineStr">
        <is>
          <t>fail</t>
        </is>
      </c>
      <c r="G67" s="33" t="inlineStr">
        <is>
          <t>fail</t>
        </is>
      </c>
      <c r="H67" s="22" t="n">
        <v>0</v>
      </c>
      <c r="I67" s="22" t="n">
        <v>0</v>
      </c>
      <c r="J67" s="22" t="n">
        <v>0</v>
      </c>
    </row>
    <row r="68">
      <c r="A68" s="20" t="inlineStr">
        <is>
          <t>Thalia Rojas</t>
        </is>
      </c>
      <c r="B68" s="20" t="inlineStr">
        <is>
          <t>February</t>
        </is>
      </c>
      <c r="C68" s="22" t="n">
        <v>19414.25</v>
      </c>
      <c r="D68" s="22" t="n">
        <v>21595.08</v>
      </c>
      <c r="E68" s="33" t="inlineStr">
        <is>
          <t>fail</t>
        </is>
      </c>
      <c r="F68" s="33" t="inlineStr">
        <is>
          <t>fail</t>
        </is>
      </c>
      <c r="G68" s="33" t="inlineStr">
        <is>
          <t>fail</t>
        </is>
      </c>
      <c r="H68" s="22" t="n">
        <v>0</v>
      </c>
      <c r="I68" s="22" t="n">
        <v>0</v>
      </c>
      <c r="J68" s="22" t="n">
        <v>0</v>
      </c>
    </row>
    <row r="69">
      <c r="A69" s="20" t="inlineStr">
        <is>
          <t>Thalia Rojas</t>
        </is>
      </c>
      <c r="B69" s="20" t="inlineStr">
        <is>
          <t>March</t>
        </is>
      </c>
      <c r="C69" s="22" t="n">
        <v>17843.69</v>
      </c>
      <c r="D69" s="22" t="n">
        <v>15564.325</v>
      </c>
      <c r="E69" s="33" t="inlineStr">
        <is>
          <t>fail</t>
        </is>
      </c>
      <c r="F69" s="33" t="inlineStr">
        <is>
          <t>fail</t>
        </is>
      </c>
      <c r="G69" s="33" t="inlineStr">
        <is>
          <t>fail</t>
        </is>
      </c>
      <c r="H69" s="22" t="n">
        <v>0</v>
      </c>
      <c r="I69" s="22" t="n">
        <v>0</v>
      </c>
      <c r="J69" s="22" t="n">
        <v>0</v>
      </c>
    </row>
    <row r="70">
      <c r="A70" s="20" t="inlineStr">
        <is>
          <t>Thalia Rojas</t>
        </is>
      </c>
      <c r="B70" s="20" t="inlineStr">
        <is>
          <t>April</t>
        </is>
      </c>
      <c r="C70" s="22" t="n">
        <v>14099</v>
      </c>
      <c r="D70" s="22" t="n">
        <v>23514.2</v>
      </c>
      <c r="E70" s="33" t="inlineStr">
        <is>
          <t>fail</t>
        </is>
      </c>
      <c r="F70" s="33" t="inlineStr">
        <is>
          <t>fail</t>
        </is>
      </c>
      <c r="G70" s="33" t="inlineStr">
        <is>
          <t>fail</t>
        </is>
      </c>
      <c r="H70" s="22" t="n">
        <v>0</v>
      </c>
      <c r="I70" s="22" t="n">
        <v>0</v>
      </c>
      <c r="J70" s="22" t="n">
        <v>0</v>
      </c>
    </row>
    <row r="71">
      <c r="A71" s="20" t="inlineStr">
        <is>
          <t>Monica Valdes</t>
        </is>
      </c>
      <c r="B71" s="20" t="inlineStr">
        <is>
          <t>January</t>
        </is>
      </c>
      <c r="C71" s="22" t="n">
        <v>28605.29</v>
      </c>
      <c r="D71" s="22" t="n">
        <v>30809.39</v>
      </c>
      <c r="E71" s="33" t="inlineStr">
        <is>
          <t>fail</t>
        </is>
      </c>
      <c r="F71" s="33" t="inlineStr">
        <is>
          <t>fail</t>
        </is>
      </c>
      <c r="G71" s="33" t="inlineStr">
        <is>
          <t>fail</t>
        </is>
      </c>
      <c r="H71" s="22" t="n">
        <v>0</v>
      </c>
      <c r="I71" s="22" t="n">
        <v>0</v>
      </c>
      <c r="J71" s="22" t="n">
        <v>0</v>
      </c>
    </row>
    <row r="72">
      <c r="A72" s="20" t="inlineStr">
        <is>
          <t>Monica Valdes</t>
        </is>
      </c>
      <c r="B72" s="20" t="inlineStr">
        <is>
          <t>February</t>
        </is>
      </c>
      <c r="C72" s="22" t="n">
        <v>31516.95</v>
      </c>
      <c r="D72" s="22" t="n">
        <v>26706.09</v>
      </c>
      <c r="E72" s="33" t="inlineStr">
        <is>
          <t>fail</t>
        </is>
      </c>
      <c r="F72" s="33" t="inlineStr">
        <is>
          <t>fail</t>
        </is>
      </c>
      <c r="G72" s="33" t="inlineStr">
        <is>
          <t>fail</t>
        </is>
      </c>
      <c r="H72" s="22" t="n">
        <v>0</v>
      </c>
      <c r="I72" s="22" t="n">
        <v>0</v>
      </c>
      <c r="J72" s="22" t="n">
        <v>0</v>
      </c>
    </row>
    <row r="73">
      <c r="A73" s="20" t="inlineStr">
        <is>
          <t>Monica Valdes</t>
        </is>
      </c>
      <c r="B73" s="20" t="inlineStr">
        <is>
          <t>March</t>
        </is>
      </c>
      <c r="C73" s="22" t="n">
        <v>68546.22</v>
      </c>
      <c r="D73" s="22" t="n">
        <v>19627.325</v>
      </c>
      <c r="E73" s="34" t="inlineStr">
        <is>
          <t>PASS</t>
        </is>
      </c>
      <c r="F73" s="33" t="inlineStr">
        <is>
          <t>fail</t>
        </is>
      </c>
      <c r="G73" s="33" t="inlineStr">
        <is>
          <t>fail</t>
        </is>
      </c>
      <c r="H73" s="22" t="n">
        <v>356.4</v>
      </c>
      <c r="I73" s="22" t="n">
        <v>465.3</v>
      </c>
      <c r="J73" s="22" t="n">
        <v>316.8</v>
      </c>
    </row>
    <row r="74">
      <c r="A74" s="20" t="inlineStr">
        <is>
          <t>Monica Valdes</t>
        </is>
      </c>
      <c r="B74" s="20" t="inlineStr">
        <is>
          <t>April</t>
        </is>
      </c>
      <c r="C74" s="22" t="n">
        <v>29755.49</v>
      </c>
      <c r="D74" s="22" t="n">
        <v>20153.95</v>
      </c>
      <c r="E74" s="33" t="inlineStr">
        <is>
          <t>fail</t>
        </is>
      </c>
      <c r="F74" s="33" t="inlineStr">
        <is>
          <t>fail</t>
        </is>
      </c>
      <c r="G74" s="33" t="inlineStr">
        <is>
          <t>fail</t>
        </is>
      </c>
      <c r="H74" s="22" t="n">
        <v>0</v>
      </c>
      <c r="I74" s="22" t="n">
        <v>0</v>
      </c>
      <c r="J74" s="22" t="n">
        <v>0</v>
      </c>
    </row>
    <row r="77">
      <c r="A77" s="5" t="inlineStr">
        <is>
          <t>WHAT IF WE LOWER THE THRESHOLD?</t>
        </is>
      </c>
    </row>
    <row r="78">
      <c r="A78" s="6" t="inlineStr">
        <is>
          <t>Threshold</t>
        </is>
      </c>
      <c r="B78" s="6" t="inlineStr">
        <is>
          <t>NB qual months (REAL)</t>
        </is>
      </c>
      <c r="C78" s="6" t="inlineStr">
        <is>
          <t>REN qual months (REAL)</t>
        </is>
      </c>
      <c r="D78" s="6" t="inlineStr">
        <is>
          <t>RWR qual months (REAL)</t>
        </is>
      </c>
      <c r="E78" s="6" t="inlineStr">
        <is>
          <t>NB qual months (SWAP)</t>
        </is>
      </c>
      <c r="F78" s="6" t="inlineStr">
        <is>
          <t>REN qual months (SWAP)</t>
        </is>
      </c>
      <c r="G78" s="6" t="inlineStr">
        <is>
          <t>RWR qual months (SWAP)</t>
        </is>
      </c>
      <c r="H78" s="6" t="inlineStr">
        <is>
          <t>Comment</t>
        </is>
      </c>
    </row>
    <row r="79" ht="30" customHeight="1">
      <c r="A79" s="20" t="inlineStr">
        <is>
          <t>$25,000</t>
        </is>
      </c>
      <c r="B79" s="20" t="inlineStr">
        <is>
          <t>17/24</t>
        </is>
      </c>
      <c r="C79" s="20" t="inlineStr">
        <is>
          <t>0/24</t>
        </is>
      </c>
      <c r="D79" s="20" t="inlineStr">
        <is>
          <t>0/24</t>
        </is>
      </c>
      <c r="E79" s="20" t="inlineStr">
        <is>
          <t>17/24</t>
        </is>
      </c>
      <c r="F79" s="20" t="inlineStr">
        <is>
          <t>9/24</t>
        </is>
      </c>
      <c r="G79" s="20" t="inlineStr">
        <is>
          <t>8/24</t>
        </is>
      </c>
      <c r="H79" s="20" t="inlineStr">
        <is>
          <t>Soft - most agents qualify on NB; REN still tight in REAL but loosens in SWAP.</t>
        </is>
      </c>
    </row>
    <row r="80" ht="30" customHeight="1">
      <c r="A80" s="30" t="inlineStr">
        <is>
          <t>$35,000</t>
        </is>
      </c>
      <c r="B80" s="30" t="inlineStr">
        <is>
          <t>9/24</t>
        </is>
      </c>
      <c r="C80" s="30" t="inlineStr">
        <is>
          <t>0/24</t>
        </is>
      </c>
      <c r="D80" s="30" t="inlineStr">
        <is>
          <t>0/24</t>
        </is>
      </c>
      <c r="E80" s="30" t="inlineStr">
        <is>
          <t>9/24</t>
        </is>
      </c>
      <c r="F80" s="30" t="inlineStr">
        <is>
          <t>4/24</t>
        </is>
      </c>
      <c r="G80" s="30" t="inlineStr">
        <is>
          <t>3/24</t>
        </is>
      </c>
      <c r="H80" s="30" t="inlineStr">
        <is>
          <t>Roughly matches the old 35-policy bar. Achievable today on NB, REN remains the stretch.</t>
        </is>
      </c>
    </row>
    <row r="81" ht="30" customHeight="1">
      <c r="A81" s="12" t="inlineStr">
        <is>
          <t>$50,000 (proposed)</t>
        </is>
      </c>
      <c r="B81" s="12" t="inlineStr">
        <is>
          <t>2/24</t>
        </is>
      </c>
      <c r="C81" s="12" t="inlineStr">
        <is>
          <t>0/24</t>
        </is>
      </c>
      <c r="D81" s="12" t="inlineStr">
        <is>
          <t>0/24</t>
        </is>
      </c>
      <c r="E81" s="12" t="inlineStr">
        <is>
          <t>2/24</t>
        </is>
      </c>
      <c r="F81" s="12" t="inlineStr">
        <is>
          <t>3/24</t>
        </is>
      </c>
      <c r="G81" s="12" t="inlineStr">
        <is>
          <t>1/24</t>
        </is>
      </c>
      <c r="H81" s="12" t="inlineStr">
        <is>
          <t>Proposed. NB gate clears for top performers; REN gate forces book-building.</t>
        </is>
      </c>
    </row>
    <row r="82" ht="30" customHeight="1">
      <c r="A82" s="30" t="inlineStr">
        <is>
          <t>$75,000</t>
        </is>
      </c>
      <c r="B82" s="30" t="inlineStr">
        <is>
          <t>0/24</t>
        </is>
      </c>
      <c r="C82" s="30" t="inlineStr">
        <is>
          <t>0/24</t>
        </is>
      </c>
      <c r="D82" s="30" t="inlineStr">
        <is>
          <t>0/24</t>
        </is>
      </c>
      <c r="E82" s="30" t="inlineStr">
        <is>
          <t>0/24</t>
        </is>
      </c>
      <c r="F82" s="30" t="inlineStr">
        <is>
          <t>0/24</t>
        </is>
      </c>
      <c r="G82" s="30" t="inlineStr">
        <is>
          <t>0/24</t>
        </is>
      </c>
      <c r="H82" s="30" t="inlineStr">
        <is>
          <t>Very tight. Only one or two months qualify even in SWAP. Use only for tenured agents.</t>
        </is>
      </c>
    </row>
  </sheetData>
  <mergeCells count="8">
    <mergeCell ref="A1:J1"/>
    <mergeCell ref="A5:J5"/>
    <mergeCell ref="A21:J21"/>
    <mergeCell ref="A77:J77"/>
    <mergeCell ref="A15:J15"/>
    <mergeCell ref="A4:J4"/>
    <mergeCell ref="A2:J2"/>
    <mergeCell ref="A49:J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cols>
    <col width="12" customWidth="1" min="1" max="1"/>
    <col width="8" customWidth="1" min="2" max="2"/>
    <col width="11" customWidth="1" min="3" max="3"/>
    <col width="8" customWidth="1" min="4" max="4"/>
    <col width="11" customWidth="1" min="5" max="5"/>
    <col width="8" customWidth="1" min="6" max="6"/>
    <col width="13" customWidth="1" min="7" max="7"/>
    <col width="12" customWidth="1" min="8" max="8"/>
    <col width="13" customWidth="1" min="9" max="9"/>
    <col width="14" customWidth="1" min="10" max="10"/>
    <col width="13" customWidth="1" min="11" max="11"/>
    <col width="13" customWidth="1" min="12" max="12"/>
    <col width="20" customWidth="1" min="13" max="13"/>
  </cols>
  <sheetData>
    <row r="1">
      <c r="A1" s="1" t="inlineStr">
        <is>
          <t>Previous Structure vs New Structure - What Each Agent Would Have Earned</t>
        </is>
      </c>
    </row>
    <row r="2">
      <c r="A2" s="4" t="inlineStr">
        <is>
          <t>Side-by-side dollar comparison for each agent, each month. 'PREVIOUS' is today's count-tier plan. 'NEW (no min)' is the proposal target. 'NEW (with min)' applies the $50k NB / $50k REN gates.</t>
        </is>
      </c>
    </row>
    <row r="4">
      <c r="A4" s="5" t="inlineStr">
        <is>
          <t>Abel Guaina</t>
        </is>
      </c>
    </row>
    <row r="5">
      <c r="A5" s="6" t="inlineStr">
        <is>
          <t>Month</t>
        </is>
      </c>
      <c r="B5" s="6" t="inlineStr">
        <is>
          <t>NB cnt</t>
        </is>
      </c>
      <c r="C5" s="6" t="inlineStr">
        <is>
          <t>NB Prem</t>
        </is>
      </c>
      <c r="D5" s="6" t="inlineStr">
        <is>
          <t>REN cnt</t>
        </is>
      </c>
      <c r="E5" s="6" t="inlineStr">
        <is>
          <t>REN Prem</t>
        </is>
      </c>
      <c r="F5" s="6" t="inlineStr">
        <is>
          <t>RWR cnt</t>
        </is>
      </c>
      <c r="G5" s="6" t="inlineStr">
        <is>
          <t>Previous (current)</t>
        </is>
      </c>
      <c r="H5" s="6" t="inlineStr">
        <is>
          <t>A no-min</t>
        </is>
      </c>
      <c r="I5" s="6" t="inlineStr">
        <is>
          <t>A WITH MIN</t>
        </is>
      </c>
      <c r="J5" s="6" t="inlineStr">
        <is>
          <t>A vs Previous</t>
        </is>
      </c>
      <c r="K5" s="6" t="inlineStr">
        <is>
          <t>B WITH MIN</t>
        </is>
      </c>
      <c r="L5" s="6" t="inlineStr">
        <is>
          <t>C WITH MIN</t>
        </is>
      </c>
      <c r="M5" s="6" t="inlineStr">
        <is>
          <t>Gates</t>
        </is>
      </c>
    </row>
    <row r="6">
      <c r="A6" s="22" t="inlineStr">
        <is>
          <t>January</t>
        </is>
      </c>
      <c r="B6" s="21" t="n">
        <v>25</v>
      </c>
      <c r="C6" s="22" t="n">
        <v>38611.42</v>
      </c>
      <c r="D6" s="21" t="n">
        <v>9</v>
      </c>
      <c r="E6" s="22" t="n">
        <v>7605</v>
      </c>
      <c r="F6" s="21" t="n">
        <v>17</v>
      </c>
      <c r="G6" s="8" t="n">
        <v>350</v>
      </c>
      <c r="H6" s="11" t="n">
        <v>252</v>
      </c>
      <c r="I6" s="23" t="n">
        <v>0</v>
      </c>
      <c r="J6" s="22" t="n">
        <v>-350</v>
      </c>
      <c r="K6" s="24" t="n">
        <v>0</v>
      </c>
      <c r="L6" s="25" t="n">
        <v>0</v>
      </c>
      <c r="M6" s="20" t="inlineStr">
        <is>
          <t>NB:n REN:n RWR:n</t>
        </is>
      </c>
    </row>
    <row r="7">
      <c r="A7" s="22" t="inlineStr">
        <is>
          <t>February</t>
        </is>
      </c>
      <c r="B7" s="21" t="n">
        <v>13</v>
      </c>
      <c r="C7" s="22" t="n">
        <v>25367</v>
      </c>
      <c r="D7" s="21" t="n">
        <v>7</v>
      </c>
      <c r="E7" s="22" t="n">
        <v>7517</v>
      </c>
      <c r="F7" s="21" t="n">
        <v>19</v>
      </c>
      <c r="G7" s="8" t="n">
        <v>250</v>
      </c>
      <c r="H7" s="11" t="n">
        <v>185.8</v>
      </c>
      <c r="I7" s="23" t="n">
        <v>0</v>
      </c>
      <c r="J7" s="22" t="n">
        <v>-250</v>
      </c>
      <c r="K7" s="24" t="n">
        <v>0</v>
      </c>
      <c r="L7" s="25" t="n">
        <v>0</v>
      </c>
      <c r="M7" s="20" t="inlineStr">
        <is>
          <t>NB:n REN:n RWR:n</t>
        </is>
      </c>
    </row>
    <row r="8">
      <c r="A8" s="22" t="inlineStr">
        <is>
          <t>March</t>
        </is>
      </c>
      <c r="B8" s="21" t="n">
        <v>30</v>
      </c>
      <c r="C8" s="22" t="n">
        <v>46523.37</v>
      </c>
      <c r="D8" s="21" t="n">
        <v>5</v>
      </c>
      <c r="E8" s="22" t="n">
        <v>3901</v>
      </c>
      <c r="F8" s="21" t="n">
        <v>17</v>
      </c>
      <c r="G8" s="8" t="n">
        <v>350</v>
      </c>
      <c r="H8" s="11" t="n">
        <v>270.4</v>
      </c>
      <c r="I8" s="23" t="n">
        <v>0</v>
      </c>
      <c r="J8" s="22" t="n">
        <v>-350</v>
      </c>
      <c r="K8" s="24" t="n">
        <v>0</v>
      </c>
      <c r="L8" s="25" t="n">
        <v>0</v>
      </c>
      <c r="M8" s="20" t="inlineStr">
        <is>
          <t>NB:n REN:n RWR:n</t>
        </is>
      </c>
    </row>
    <row r="9">
      <c r="A9" s="22" t="inlineStr">
        <is>
          <t>April</t>
        </is>
      </c>
      <c r="B9" s="21" t="n">
        <v>27</v>
      </c>
      <c r="C9" s="22" t="n">
        <v>37825.93</v>
      </c>
      <c r="D9" s="21" t="n">
        <v>13</v>
      </c>
      <c r="E9" s="22" t="n">
        <v>10935.99</v>
      </c>
      <c r="F9" s="21" t="n">
        <v>15</v>
      </c>
      <c r="G9" s="8" t="n">
        <v>350</v>
      </c>
      <c r="H9" s="11" t="n">
        <v>302.2</v>
      </c>
      <c r="I9" s="23" t="n">
        <v>0</v>
      </c>
      <c r="J9" s="22" t="n">
        <v>-350</v>
      </c>
      <c r="K9" s="24" t="n">
        <v>0</v>
      </c>
      <c r="L9" s="25" t="n">
        <v>0</v>
      </c>
      <c r="M9" s="20" t="inlineStr">
        <is>
          <t>NB:n REN:n RWR:n</t>
        </is>
      </c>
    </row>
    <row r="10">
      <c r="A10" s="26" t="inlineStr">
        <is>
          <t>4-Month Total</t>
        </is>
      </c>
      <c r="B10" s="35" t="n"/>
      <c r="C10" s="35" t="n"/>
      <c r="D10" s="35" t="n"/>
      <c r="E10" s="35" t="n"/>
      <c r="F10" s="35" t="n"/>
      <c r="G10" s="27" t="n">
        <v>1300</v>
      </c>
      <c r="H10" s="27" t="n">
        <v>1010.4</v>
      </c>
      <c r="I10" s="27" t="n">
        <v>0</v>
      </c>
      <c r="J10" s="27" t="n">
        <v>-1300</v>
      </c>
      <c r="K10" s="27" t="n">
        <v>0</v>
      </c>
      <c r="L10" s="27" t="n">
        <v>0</v>
      </c>
      <c r="M10" s="35" t="n"/>
    </row>
    <row r="11" ht="30" customHeight="1">
      <c r="A11" s="36" t="inlineStr">
        <is>
          <t>Read: under PREVIOUS plan Abel earned $1,300 in 4 months. Under NEW Proposal A WITHOUT minimums it would be $1,010. WITH $50k/$50k minimums it drops to $0 because the REN gate barely opens.</t>
        </is>
      </c>
    </row>
    <row r="13">
      <c r="A13" s="5" t="inlineStr">
        <is>
          <t>Dialinerys Dieguez</t>
        </is>
      </c>
    </row>
    <row r="14">
      <c r="A14" s="6" t="inlineStr">
        <is>
          <t>Month</t>
        </is>
      </c>
      <c r="B14" s="6" t="inlineStr">
        <is>
          <t>NB cnt</t>
        </is>
      </c>
      <c r="C14" s="6" t="inlineStr">
        <is>
          <t>NB Prem</t>
        </is>
      </c>
      <c r="D14" s="6" t="inlineStr">
        <is>
          <t>REN cnt</t>
        </is>
      </c>
      <c r="E14" s="6" t="inlineStr">
        <is>
          <t>REN Prem</t>
        </is>
      </c>
      <c r="F14" s="6" t="inlineStr">
        <is>
          <t>RWR cnt</t>
        </is>
      </c>
      <c r="G14" s="6" t="inlineStr">
        <is>
          <t>Previous (current)</t>
        </is>
      </c>
      <c r="H14" s="6" t="inlineStr">
        <is>
          <t>A no-min</t>
        </is>
      </c>
      <c r="I14" s="6" t="inlineStr">
        <is>
          <t>A WITH MIN</t>
        </is>
      </c>
      <c r="J14" s="6" t="inlineStr">
        <is>
          <t>A vs Previous</t>
        </is>
      </c>
      <c r="K14" s="6" t="inlineStr">
        <is>
          <t>B WITH MIN</t>
        </is>
      </c>
      <c r="L14" s="6" t="inlineStr">
        <is>
          <t>C WITH MIN</t>
        </is>
      </c>
      <c r="M14" s="6" t="inlineStr">
        <is>
          <t>Gates</t>
        </is>
      </c>
    </row>
    <row r="15">
      <c r="A15" s="22" t="inlineStr">
        <is>
          <t>January</t>
        </is>
      </c>
      <c r="B15" s="21" t="n">
        <v>23</v>
      </c>
      <c r="C15" s="22" t="n">
        <v>40249.26</v>
      </c>
      <c r="D15" s="21" t="n">
        <v>11</v>
      </c>
      <c r="E15" s="22" t="n">
        <v>12530.47</v>
      </c>
      <c r="F15" s="21" t="n">
        <v>48</v>
      </c>
      <c r="G15" s="8" t="n">
        <v>660</v>
      </c>
      <c r="H15" s="11" t="n">
        <v>317.2</v>
      </c>
      <c r="I15" s="23" t="n">
        <v>0</v>
      </c>
      <c r="J15" s="22" t="n">
        <v>-660</v>
      </c>
      <c r="K15" s="24" t="n">
        <v>0</v>
      </c>
      <c r="L15" s="25" t="n">
        <v>0</v>
      </c>
      <c r="M15" s="20" t="inlineStr">
        <is>
          <t>NB:n REN:n RWR:n</t>
        </is>
      </c>
    </row>
    <row r="16">
      <c r="A16" s="22" t="inlineStr">
        <is>
          <t>February</t>
        </is>
      </c>
      <c r="B16" s="21" t="n">
        <v>23</v>
      </c>
      <c r="C16" s="22" t="n">
        <v>30057.89</v>
      </c>
      <c r="D16" s="21" t="n">
        <v>9</v>
      </c>
      <c r="E16" s="22" t="n">
        <v>11629.68</v>
      </c>
      <c r="F16" s="21" t="n">
        <v>56</v>
      </c>
      <c r="G16" s="8" t="n">
        <v>740</v>
      </c>
      <c r="H16" s="11" t="n">
        <v>349.8000000000001</v>
      </c>
      <c r="I16" s="23" t="n">
        <v>0</v>
      </c>
      <c r="J16" s="22" t="n">
        <v>-740</v>
      </c>
      <c r="K16" s="24" t="n">
        <v>0</v>
      </c>
      <c r="L16" s="25" t="n">
        <v>0</v>
      </c>
      <c r="M16" s="20" t="inlineStr">
        <is>
          <t>NB:n REN:n RWR:n</t>
        </is>
      </c>
    </row>
    <row r="17">
      <c r="A17" s="22" t="inlineStr">
        <is>
          <t>March</t>
        </is>
      </c>
      <c r="B17" s="21" t="n">
        <v>38</v>
      </c>
      <c r="C17" s="22" t="n">
        <v>52434.9</v>
      </c>
      <c r="D17" s="21" t="n">
        <v>7</v>
      </c>
      <c r="E17" s="22" t="n">
        <v>5962.5</v>
      </c>
      <c r="F17" s="21" t="n">
        <v>69</v>
      </c>
      <c r="G17" s="8" t="n">
        <v>1020</v>
      </c>
      <c r="H17" s="11" t="n">
        <v>478.0000000000001</v>
      </c>
      <c r="I17" s="23" t="n">
        <v>292.6</v>
      </c>
      <c r="J17" s="22" t="n">
        <v>-727.4</v>
      </c>
      <c r="K17" s="24" t="n">
        <v>491.15</v>
      </c>
      <c r="L17" s="25" t="n">
        <v>334.4</v>
      </c>
      <c r="M17" s="20" t="inlineStr">
        <is>
          <t>NB:Y REN:n RWR:n</t>
        </is>
      </c>
    </row>
    <row r="18">
      <c r="A18" s="22" t="inlineStr">
        <is>
          <t>April</t>
        </is>
      </c>
      <c r="B18" s="21" t="n">
        <v>33</v>
      </c>
      <c r="C18" s="22" t="n">
        <v>49689.35</v>
      </c>
      <c r="D18" s="21" t="n">
        <v>2</v>
      </c>
      <c r="E18" s="22" t="n">
        <v>19575</v>
      </c>
      <c r="F18" s="21" t="n">
        <v>44</v>
      </c>
      <c r="G18" s="8" t="n">
        <v>720</v>
      </c>
      <c r="H18" s="11" t="n">
        <v>368.5</v>
      </c>
      <c r="I18" s="23" t="n">
        <v>0</v>
      </c>
      <c r="J18" s="22" t="n">
        <v>-720</v>
      </c>
      <c r="K18" s="24" t="n">
        <v>0</v>
      </c>
      <c r="L18" s="25" t="n">
        <v>0</v>
      </c>
      <c r="M18" s="20" t="inlineStr">
        <is>
          <t>NB:n REN:n RWR:n</t>
        </is>
      </c>
    </row>
    <row r="19">
      <c r="A19" s="26" t="inlineStr">
        <is>
          <t>4-Month Total</t>
        </is>
      </c>
      <c r="B19" s="35" t="n"/>
      <c r="C19" s="35" t="n"/>
      <c r="D19" s="35" t="n"/>
      <c r="E19" s="35" t="n"/>
      <c r="F19" s="35" t="n"/>
      <c r="G19" s="27" t="n">
        <v>3140</v>
      </c>
      <c r="H19" s="27" t="n">
        <v>1513.5</v>
      </c>
      <c r="I19" s="27" t="n">
        <v>292.6</v>
      </c>
      <c r="J19" s="27" t="n">
        <v>-2847.4</v>
      </c>
      <c r="K19" s="27" t="n">
        <v>491.15</v>
      </c>
      <c r="L19" s="27" t="n">
        <v>334.4</v>
      </c>
      <c r="M19" s="35" t="n"/>
    </row>
    <row r="20" ht="30" customHeight="1">
      <c r="A20" s="36" t="inlineStr">
        <is>
          <t>Read: under PREVIOUS plan Dialinerys earned $3,140 in 4 months. Under NEW Proposal A WITHOUT minimums it would be $1,514. WITH $50k/$50k minimums it drops to $293 because the REN gate barely opens.</t>
        </is>
      </c>
    </row>
    <row r="22">
      <c r="A22" s="5" t="inlineStr">
        <is>
          <t>Melissa Hernandez</t>
        </is>
      </c>
    </row>
    <row r="23">
      <c r="A23" s="6" t="inlineStr">
        <is>
          <t>Month</t>
        </is>
      </c>
      <c r="B23" s="6" t="inlineStr">
        <is>
          <t>NB cnt</t>
        </is>
      </c>
      <c r="C23" s="6" t="inlineStr">
        <is>
          <t>NB Prem</t>
        </is>
      </c>
      <c r="D23" s="6" t="inlineStr">
        <is>
          <t>REN cnt</t>
        </is>
      </c>
      <c r="E23" s="6" t="inlineStr">
        <is>
          <t>REN Prem</t>
        </is>
      </c>
      <c r="F23" s="6" t="inlineStr">
        <is>
          <t>RWR cnt</t>
        </is>
      </c>
      <c r="G23" s="6" t="inlineStr">
        <is>
          <t>Previous (current)</t>
        </is>
      </c>
      <c r="H23" s="6" t="inlineStr">
        <is>
          <t>A no-min</t>
        </is>
      </c>
      <c r="I23" s="6" t="inlineStr">
        <is>
          <t>A WITH MIN</t>
        </is>
      </c>
      <c r="J23" s="6" t="inlineStr">
        <is>
          <t>A vs Previous</t>
        </is>
      </c>
      <c r="K23" s="6" t="inlineStr">
        <is>
          <t>B WITH MIN</t>
        </is>
      </c>
      <c r="L23" s="6" t="inlineStr">
        <is>
          <t>C WITH MIN</t>
        </is>
      </c>
      <c r="M23" s="6" t="inlineStr">
        <is>
          <t>Gates</t>
        </is>
      </c>
    </row>
    <row r="24">
      <c r="A24" s="22" t="inlineStr">
        <is>
          <t>January</t>
        </is>
      </c>
      <c r="B24" s="21" t="n">
        <v>31</v>
      </c>
      <c r="C24" s="22" t="n">
        <v>37039</v>
      </c>
      <c r="D24" s="21" t="n">
        <v>0</v>
      </c>
      <c r="E24" s="22" t="n">
        <v>0</v>
      </c>
      <c r="F24" s="21" t="n">
        <v>48</v>
      </c>
      <c r="G24" s="8" t="n">
        <v>740</v>
      </c>
      <c r="H24" s="11" t="n">
        <v>276.1</v>
      </c>
      <c r="I24" s="23" t="n">
        <v>0</v>
      </c>
      <c r="J24" s="22" t="n">
        <v>-740</v>
      </c>
      <c r="K24" s="24" t="n">
        <v>0</v>
      </c>
      <c r="L24" s="25" t="n">
        <v>0</v>
      </c>
      <c r="M24" s="20" t="inlineStr">
        <is>
          <t>NB:n REN:n RWR:n</t>
        </is>
      </c>
    </row>
    <row r="25">
      <c r="A25" s="22" t="inlineStr">
        <is>
          <t>February</t>
        </is>
      </c>
      <c r="B25" s="21" t="n">
        <v>13</v>
      </c>
      <c r="C25" s="22" t="n">
        <v>7659.5</v>
      </c>
      <c r="D25" s="21" t="n">
        <v>1</v>
      </c>
      <c r="E25" s="22" t="n">
        <v>1063</v>
      </c>
      <c r="F25" s="21" t="n">
        <v>37</v>
      </c>
      <c r="G25" s="8" t="n">
        <v>450</v>
      </c>
      <c r="H25" s="11" t="n">
        <v>152.75</v>
      </c>
      <c r="I25" s="23" t="n">
        <v>0</v>
      </c>
      <c r="J25" s="22" t="n">
        <v>-450</v>
      </c>
      <c r="K25" s="24" t="n">
        <v>0</v>
      </c>
      <c r="L25" s="25" t="n">
        <v>0</v>
      </c>
      <c r="M25" s="20" t="inlineStr">
        <is>
          <t>NB:n REN:n RWR:n</t>
        </is>
      </c>
    </row>
    <row r="26">
      <c r="A26" s="22" t="inlineStr">
        <is>
          <t>March</t>
        </is>
      </c>
      <c r="B26" s="21" t="n">
        <v>28</v>
      </c>
      <c r="C26" s="22" t="n">
        <v>39759.7</v>
      </c>
      <c r="D26" s="21" t="n">
        <v>1</v>
      </c>
      <c r="E26" s="22" t="n">
        <v>1034</v>
      </c>
      <c r="F26" s="21" t="n">
        <v>48</v>
      </c>
      <c r="G26" s="8" t="n">
        <v>710</v>
      </c>
      <c r="H26" s="11" t="n">
        <v>306</v>
      </c>
      <c r="I26" s="23" t="n">
        <v>0</v>
      </c>
      <c r="J26" s="22" t="n">
        <v>-710</v>
      </c>
      <c r="K26" s="24" t="n">
        <v>0</v>
      </c>
      <c r="L26" s="25" t="n">
        <v>0</v>
      </c>
      <c r="M26" s="20" t="inlineStr">
        <is>
          <t>NB:n REN:n RWR:n</t>
        </is>
      </c>
    </row>
    <row r="27">
      <c r="A27" s="22" t="inlineStr">
        <is>
          <t>April</t>
        </is>
      </c>
      <c r="B27" s="21" t="n">
        <v>15</v>
      </c>
      <c r="C27" s="22" t="n">
        <v>19288.35</v>
      </c>
      <c r="D27" s="21" t="n">
        <v>0</v>
      </c>
      <c r="E27" s="22" t="n">
        <v>0</v>
      </c>
      <c r="F27" s="21" t="n">
        <v>37</v>
      </c>
      <c r="G27" s="8" t="n">
        <v>470</v>
      </c>
      <c r="H27" s="11" t="n">
        <v>196.9</v>
      </c>
      <c r="I27" s="23" t="n">
        <v>0</v>
      </c>
      <c r="J27" s="22" t="n">
        <v>-470</v>
      </c>
      <c r="K27" s="24" t="n">
        <v>0</v>
      </c>
      <c r="L27" s="25" t="n">
        <v>0</v>
      </c>
      <c r="M27" s="20" t="inlineStr">
        <is>
          <t>NB:n REN:n RWR:n</t>
        </is>
      </c>
    </row>
    <row r="28">
      <c r="A28" s="26" t="inlineStr">
        <is>
          <t>4-Month Total</t>
        </is>
      </c>
      <c r="B28" s="35" t="n"/>
      <c r="C28" s="35" t="n"/>
      <c r="D28" s="35" t="n"/>
      <c r="E28" s="35" t="n"/>
      <c r="F28" s="35" t="n"/>
      <c r="G28" s="27" t="n">
        <v>2370</v>
      </c>
      <c r="H28" s="27" t="n">
        <v>931.75</v>
      </c>
      <c r="I28" s="27" t="n">
        <v>0</v>
      </c>
      <c r="J28" s="27" t="n">
        <v>-2370</v>
      </c>
      <c r="K28" s="27" t="n">
        <v>0</v>
      </c>
      <c r="L28" s="27" t="n">
        <v>0</v>
      </c>
      <c r="M28" s="35" t="n"/>
    </row>
    <row r="29" ht="30" customHeight="1">
      <c r="A29" s="36" t="inlineStr">
        <is>
          <t>Read: under PREVIOUS plan Melissa earned $2,370 in 4 months. Under NEW Proposal A WITHOUT minimums it would be $932. WITH $50k/$50k minimums it drops to $0 because the REN gate barely opens.</t>
        </is>
      </c>
    </row>
    <row r="31">
      <c r="A31" s="5" t="inlineStr">
        <is>
          <t>Flavia Parra</t>
        </is>
      </c>
    </row>
    <row r="32">
      <c r="A32" s="6" t="inlineStr">
        <is>
          <t>Month</t>
        </is>
      </c>
      <c r="B32" s="6" t="inlineStr">
        <is>
          <t>NB cnt</t>
        </is>
      </c>
      <c r="C32" s="6" t="inlineStr">
        <is>
          <t>NB Prem</t>
        </is>
      </c>
      <c r="D32" s="6" t="inlineStr">
        <is>
          <t>REN cnt</t>
        </is>
      </c>
      <c r="E32" s="6" t="inlineStr">
        <is>
          <t>REN Prem</t>
        </is>
      </c>
      <c r="F32" s="6" t="inlineStr">
        <is>
          <t>RWR cnt</t>
        </is>
      </c>
      <c r="G32" s="6" t="inlineStr">
        <is>
          <t>Previous (current)</t>
        </is>
      </c>
      <c r="H32" s="6" t="inlineStr">
        <is>
          <t>A no-min</t>
        </is>
      </c>
      <c r="I32" s="6" t="inlineStr">
        <is>
          <t>A WITH MIN</t>
        </is>
      </c>
      <c r="J32" s="6" t="inlineStr">
        <is>
          <t>A vs Previous</t>
        </is>
      </c>
      <c r="K32" s="6" t="inlineStr">
        <is>
          <t>B WITH MIN</t>
        </is>
      </c>
      <c r="L32" s="6" t="inlineStr">
        <is>
          <t>C WITH MIN</t>
        </is>
      </c>
      <c r="M32" s="6" t="inlineStr">
        <is>
          <t>Gates</t>
        </is>
      </c>
    </row>
    <row r="33">
      <c r="A33" s="22" t="inlineStr">
        <is>
          <t>January</t>
        </is>
      </c>
      <c r="B33" s="21" t="n">
        <v>19</v>
      </c>
      <c r="C33" s="22" t="n">
        <v>28525.05</v>
      </c>
      <c r="D33" s="21" t="n">
        <v>1</v>
      </c>
      <c r="E33" s="22" t="n">
        <v>1464.35</v>
      </c>
      <c r="F33" s="21" t="n">
        <v>35</v>
      </c>
      <c r="G33" s="8" t="n">
        <v>490</v>
      </c>
      <c r="H33" s="11" t="n">
        <v>228.8</v>
      </c>
      <c r="I33" s="23" t="n">
        <v>0</v>
      </c>
      <c r="J33" s="22" t="n">
        <v>-490</v>
      </c>
      <c r="K33" s="24" t="n">
        <v>0</v>
      </c>
      <c r="L33" s="25" t="n">
        <v>0</v>
      </c>
      <c r="M33" s="20" t="inlineStr">
        <is>
          <t>NB:n REN:n RWR:n</t>
        </is>
      </c>
    </row>
    <row r="34">
      <c r="A34" s="22" t="inlineStr">
        <is>
          <t>February</t>
        </is>
      </c>
      <c r="B34" s="21" t="n">
        <v>23</v>
      </c>
      <c r="C34" s="22" t="n">
        <v>22247.7</v>
      </c>
      <c r="D34" s="21" t="n">
        <v>2</v>
      </c>
      <c r="E34" s="22" t="n">
        <v>2099</v>
      </c>
      <c r="F34" s="21" t="n">
        <v>42</v>
      </c>
      <c r="G34" s="8" t="n">
        <v>600</v>
      </c>
      <c r="H34" s="11" t="n">
        <v>231.9</v>
      </c>
      <c r="I34" s="23" t="n">
        <v>0</v>
      </c>
      <c r="J34" s="22" t="n">
        <v>-600</v>
      </c>
      <c r="K34" s="24" t="n">
        <v>0</v>
      </c>
      <c r="L34" s="25" t="n">
        <v>0</v>
      </c>
      <c r="M34" s="20" t="inlineStr">
        <is>
          <t>NB:n REN:n RWR:n</t>
        </is>
      </c>
    </row>
    <row r="35">
      <c r="A35" s="22" t="inlineStr">
        <is>
          <t>March</t>
        </is>
      </c>
      <c r="B35" s="21" t="n">
        <v>27</v>
      </c>
      <c r="C35" s="22" t="n">
        <v>31269</v>
      </c>
      <c r="D35" s="21" t="n">
        <v>0</v>
      </c>
      <c r="E35" s="22" t="n">
        <v>0</v>
      </c>
      <c r="F35" s="21" t="n">
        <v>27</v>
      </c>
      <c r="G35" s="8" t="n">
        <v>490</v>
      </c>
      <c r="H35" s="11" t="n">
        <v>217.35</v>
      </c>
      <c r="I35" s="23" t="n">
        <v>0</v>
      </c>
      <c r="J35" s="22" t="n">
        <v>-490</v>
      </c>
      <c r="K35" s="24" t="n">
        <v>0</v>
      </c>
      <c r="L35" s="25" t="n">
        <v>0</v>
      </c>
      <c r="M35" s="20" t="inlineStr">
        <is>
          <t>NB:n REN:n RWR:n</t>
        </is>
      </c>
    </row>
    <row r="36">
      <c r="A36" s="22" t="inlineStr">
        <is>
          <t>April</t>
        </is>
      </c>
      <c r="B36" s="21" t="n">
        <v>23</v>
      </c>
      <c r="C36" s="22" t="n">
        <v>29581.05</v>
      </c>
      <c r="D36" s="21" t="n">
        <v>1</v>
      </c>
      <c r="E36" s="22" t="n">
        <v>885</v>
      </c>
      <c r="F36" s="21" t="n">
        <v>31</v>
      </c>
      <c r="G36" s="8" t="n">
        <v>490</v>
      </c>
      <c r="H36" s="11" t="n">
        <v>253.4</v>
      </c>
      <c r="I36" s="23" t="n">
        <v>0</v>
      </c>
      <c r="J36" s="22" t="n">
        <v>-490</v>
      </c>
      <c r="K36" s="24" t="n">
        <v>0</v>
      </c>
      <c r="L36" s="25" t="n">
        <v>0</v>
      </c>
      <c r="M36" s="20" t="inlineStr">
        <is>
          <t>NB:n REN:n RWR:n</t>
        </is>
      </c>
    </row>
    <row r="37">
      <c r="A37" s="26" t="inlineStr">
        <is>
          <t>4-Month Total</t>
        </is>
      </c>
      <c r="B37" s="35" t="n"/>
      <c r="C37" s="35" t="n"/>
      <c r="D37" s="35" t="n"/>
      <c r="E37" s="35" t="n"/>
      <c r="F37" s="35" t="n"/>
      <c r="G37" s="27" t="n">
        <v>2070</v>
      </c>
      <c r="H37" s="27" t="n">
        <v>931.45</v>
      </c>
      <c r="I37" s="27" t="n">
        <v>0</v>
      </c>
      <c r="J37" s="27" t="n">
        <v>-2070</v>
      </c>
      <c r="K37" s="27" t="n">
        <v>0</v>
      </c>
      <c r="L37" s="27" t="n">
        <v>0</v>
      </c>
      <c r="M37" s="35" t="n"/>
    </row>
    <row r="38" ht="30" customHeight="1">
      <c r="A38" s="36" t="inlineStr">
        <is>
          <t>Read: under PREVIOUS plan Flavia earned $2,070 in 4 months. Under NEW Proposal A WITHOUT minimums it would be $931. WITH $50k/$50k minimums it drops to $0 because the REN gate barely opens.</t>
        </is>
      </c>
    </row>
    <row r="40">
      <c r="A40" s="5" t="inlineStr">
        <is>
          <t>Thalia Rojas</t>
        </is>
      </c>
    </row>
    <row r="41">
      <c r="A41" s="6" t="inlineStr">
        <is>
          <t>Month</t>
        </is>
      </c>
      <c r="B41" s="6" t="inlineStr">
        <is>
          <t>NB cnt</t>
        </is>
      </c>
      <c r="C41" s="6" t="inlineStr">
        <is>
          <t>NB Prem</t>
        </is>
      </c>
      <c r="D41" s="6" t="inlineStr">
        <is>
          <t>REN cnt</t>
        </is>
      </c>
      <c r="E41" s="6" t="inlineStr">
        <is>
          <t>REN Prem</t>
        </is>
      </c>
      <c r="F41" s="6" t="inlineStr">
        <is>
          <t>RWR cnt</t>
        </is>
      </c>
      <c r="G41" s="6" t="inlineStr">
        <is>
          <t>Previous (current)</t>
        </is>
      </c>
      <c r="H41" s="6" t="inlineStr">
        <is>
          <t>A no-min</t>
        </is>
      </c>
      <c r="I41" s="6" t="inlineStr">
        <is>
          <t>A WITH MIN</t>
        </is>
      </c>
      <c r="J41" s="6" t="inlineStr">
        <is>
          <t>A vs Previous</t>
        </is>
      </c>
      <c r="K41" s="6" t="inlineStr">
        <is>
          <t>B WITH MIN</t>
        </is>
      </c>
      <c r="L41" s="6" t="inlineStr">
        <is>
          <t>C WITH MIN</t>
        </is>
      </c>
      <c r="M41" s="6" t="inlineStr">
        <is>
          <t>Gates</t>
        </is>
      </c>
    </row>
    <row r="42">
      <c r="A42" s="22" t="inlineStr">
        <is>
          <t>January</t>
        </is>
      </c>
      <c r="B42" s="21" t="n">
        <v>10</v>
      </c>
      <c r="C42" s="22" t="n">
        <v>15503.9</v>
      </c>
      <c r="D42" s="21" t="n">
        <v>4</v>
      </c>
      <c r="E42" s="22" t="n">
        <v>3690</v>
      </c>
      <c r="F42" s="21" t="n">
        <v>28</v>
      </c>
      <c r="G42" s="8" t="n">
        <v>350</v>
      </c>
      <c r="H42" s="11" t="n">
        <v>149.2</v>
      </c>
      <c r="I42" s="23" t="n">
        <v>0</v>
      </c>
      <c r="J42" s="22" t="n">
        <v>-350</v>
      </c>
      <c r="K42" s="24" t="n">
        <v>0</v>
      </c>
      <c r="L42" s="25" t="n">
        <v>0</v>
      </c>
      <c r="M42" s="20" t="inlineStr">
        <is>
          <t>NB:n REN:n RWR:n</t>
        </is>
      </c>
    </row>
    <row r="43">
      <c r="A43" s="22" t="inlineStr">
        <is>
          <t>February</t>
        </is>
      </c>
      <c r="B43" s="21" t="n">
        <v>14</v>
      </c>
      <c r="C43" s="22" t="n">
        <v>19414.25</v>
      </c>
      <c r="D43" s="21" t="n">
        <v>5</v>
      </c>
      <c r="E43" s="22" t="n">
        <v>7446</v>
      </c>
      <c r="F43" s="21" t="n">
        <v>24</v>
      </c>
      <c r="G43" s="8" t="n">
        <v>350</v>
      </c>
      <c r="H43" s="11" t="n">
        <v>189.35</v>
      </c>
      <c r="I43" s="23" t="n">
        <v>0</v>
      </c>
      <c r="J43" s="22" t="n">
        <v>-350</v>
      </c>
      <c r="K43" s="24" t="n">
        <v>0</v>
      </c>
      <c r="L43" s="25" t="n">
        <v>0</v>
      </c>
      <c r="M43" s="20" t="inlineStr">
        <is>
          <t>NB:n REN:n RWR:n</t>
        </is>
      </c>
    </row>
    <row r="44">
      <c r="A44" s="22" t="inlineStr">
        <is>
          <t>March</t>
        </is>
      </c>
      <c r="B44" s="21" t="n">
        <v>19</v>
      </c>
      <c r="C44" s="22" t="n">
        <v>17843.69</v>
      </c>
      <c r="D44" s="21" t="n">
        <v>6</v>
      </c>
      <c r="E44" s="22" t="n">
        <v>5643.9</v>
      </c>
      <c r="F44" s="21" t="n">
        <v>19</v>
      </c>
      <c r="G44" s="8" t="n">
        <v>350</v>
      </c>
      <c r="H44" s="11" t="n">
        <v>178.65</v>
      </c>
      <c r="I44" s="23" t="n">
        <v>0</v>
      </c>
      <c r="J44" s="22" t="n">
        <v>-350</v>
      </c>
      <c r="K44" s="24" t="n">
        <v>0</v>
      </c>
      <c r="L44" s="25" t="n">
        <v>0</v>
      </c>
      <c r="M44" s="20" t="inlineStr">
        <is>
          <t>NB:n REN:n RWR:n</t>
        </is>
      </c>
    </row>
    <row r="45">
      <c r="A45" s="22" t="inlineStr">
        <is>
          <t>April</t>
        </is>
      </c>
      <c r="B45" s="21" t="n">
        <v>9</v>
      </c>
      <c r="C45" s="22" t="n">
        <v>14099</v>
      </c>
      <c r="D45" s="21" t="n">
        <v>3</v>
      </c>
      <c r="E45" s="22" t="n">
        <v>3617</v>
      </c>
      <c r="F45" s="21" t="n">
        <v>29</v>
      </c>
      <c r="G45" s="8" t="n">
        <v>350</v>
      </c>
      <c r="H45" s="11" t="n">
        <v>154.25</v>
      </c>
      <c r="I45" s="23" t="n">
        <v>0</v>
      </c>
      <c r="J45" s="22" t="n">
        <v>-350</v>
      </c>
      <c r="K45" s="24" t="n">
        <v>0</v>
      </c>
      <c r="L45" s="25" t="n">
        <v>0</v>
      </c>
      <c r="M45" s="20" t="inlineStr">
        <is>
          <t>NB:n REN:n RWR:n</t>
        </is>
      </c>
    </row>
    <row r="46">
      <c r="A46" s="26" t="inlineStr">
        <is>
          <t>4-Month Total</t>
        </is>
      </c>
      <c r="B46" s="35" t="n"/>
      <c r="C46" s="35" t="n"/>
      <c r="D46" s="35" t="n"/>
      <c r="E46" s="35" t="n"/>
      <c r="F46" s="35" t="n"/>
      <c r="G46" s="27" t="n">
        <v>1400</v>
      </c>
      <c r="H46" s="27" t="n">
        <v>671.45</v>
      </c>
      <c r="I46" s="27" t="n">
        <v>0</v>
      </c>
      <c r="J46" s="27" t="n">
        <v>-1400</v>
      </c>
      <c r="K46" s="27" t="n">
        <v>0</v>
      </c>
      <c r="L46" s="27" t="n">
        <v>0</v>
      </c>
      <c r="M46" s="35" t="n"/>
    </row>
    <row r="47" ht="30" customHeight="1">
      <c r="A47" s="36" t="inlineStr">
        <is>
          <t>Read: under PREVIOUS plan Thalia earned $1,400 in 4 months. Under NEW Proposal A WITHOUT minimums it would be $671. WITH $50k/$50k minimums it drops to $0 because the REN gate barely opens.</t>
        </is>
      </c>
    </row>
    <row r="49">
      <c r="A49" s="5" t="inlineStr">
        <is>
          <t>Monica Valdes</t>
        </is>
      </c>
    </row>
    <row r="50">
      <c r="A50" s="6" t="inlineStr">
        <is>
          <t>Month</t>
        </is>
      </c>
      <c r="B50" s="6" t="inlineStr">
        <is>
          <t>NB cnt</t>
        </is>
      </c>
      <c r="C50" s="6" t="inlineStr">
        <is>
          <t>NB Prem</t>
        </is>
      </c>
      <c r="D50" s="6" t="inlineStr">
        <is>
          <t>REN cnt</t>
        </is>
      </c>
      <c r="E50" s="6" t="inlineStr">
        <is>
          <t>REN Prem</t>
        </is>
      </c>
      <c r="F50" s="6" t="inlineStr">
        <is>
          <t>RWR cnt</t>
        </is>
      </c>
      <c r="G50" s="6" t="inlineStr">
        <is>
          <t>Previous (current)</t>
        </is>
      </c>
      <c r="H50" s="6" t="inlineStr">
        <is>
          <t>A no-min</t>
        </is>
      </c>
      <c r="I50" s="6" t="inlineStr">
        <is>
          <t>A WITH MIN</t>
        </is>
      </c>
      <c r="J50" s="6" t="inlineStr">
        <is>
          <t>A vs Previous</t>
        </is>
      </c>
      <c r="K50" s="6" t="inlineStr">
        <is>
          <t>B WITH MIN</t>
        </is>
      </c>
      <c r="L50" s="6" t="inlineStr">
        <is>
          <t>C WITH MIN</t>
        </is>
      </c>
      <c r="M50" s="6" t="inlineStr">
        <is>
          <t>Gates</t>
        </is>
      </c>
    </row>
    <row r="51">
      <c r="A51" s="22" t="inlineStr">
        <is>
          <t>January</t>
        </is>
      </c>
      <c r="B51" s="21" t="n">
        <v>23</v>
      </c>
      <c r="C51" s="22" t="n">
        <v>28605.29</v>
      </c>
      <c r="D51" s="21" t="n">
        <v>6</v>
      </c>
      <c r="E51" s="22" t="n">
        <v>6502.91</v>
      </c>
      <c r="F51" s="21" t="n">
        <v>37</v>
      </c>
      <c r="G51" s="8" t="n">
        <v>550</v>
      </c>
      <c r="H51" s="11" t="n">
        <v>284.9</v>
      </c>
      <c r="I51" s="23" t="n">
        <v>0</v>
      </c>
      <c r="J51" s="22" t="n">
        <v>-550</v>
      </c>
      <c r="K51" s="24" t="n">
        <v>0</v>
      </c>
      <c r="L51" s="25" t="n">
        <v>0</v>
      </c>
      <c r="M51" s="20" t="inlineStr">
        <is>
          <t>NB:n REN:n RWR:n</t>
        </is>
      </c>
    </row>
    <row r="52">
      <c r="A52" s="22" t="inlineStr">
        <is>
          <t>February</t>
        </is>
      </c>
      <c r="B52" s="21" t="n">
        <v>21</v>
      </c>
      <c r="C52" s="22" t="n">
        <v>31516.95</v>
      </c>
      <c r="D52" s="21" t="n">
        <v>2</v>
      </c>
      <c r="E52" s="22" t="n">
        <v>3092</v>
      </c>
      <c r="F52" s="21" t="n">
        <v>29</v>
      </c>
      <c r="G52" s="8" t="n">
        <v>450</v>
      </c>
      <c r="H52" s="11" t="n">
        <v>235.5</v>
      </c>
      <c r="I52" s="23" t="n">
        <v>0</v>
      </c>
      <c r="J52" s="22" t="n">
        <v>-450</v>
      </c>
      <c r="K52" s="24" t="n">
        <v>0</v>
      </c>
      <c r="L52" s="25" t="n">
        <v>0</v>
      </c>
      <c r="M52" s="20" t="inlineStr">
        <is>
          <t>NB:n REN:n RWR:n</t>
        </is>
      </c>
    </row>
    <row r="53">
      <c r="A53" s="22" t="inlineStr">
        <is>
          <t>March</t>
        </is>
      </c>
      <c r="B53" s="21" t="n">
        <v>36</v>
      </c>
      <c r="C53" s="22" t="n">
        <v>68546.22</v>
      </c>
      <c r="D53" s="21" t="n">
        <v>0</v>
      </c>
      <c r="E53" s="22" t="n">
        <v>0</v>
      </c>
      <c r="F53" s="21" t="n">
        <v>28</v>
      </c>
      <c r="G53" s="8" t="n">
        <v>590</v>
      </c>
      <c r="H53" s="11" t="n">
        <v>412.4</v>
      </c>
      <c r="I53" s="23" t="n">
        <v>356.4</v>
      </c>
      <c r="J53" s="22" t="n">
        <v>-233.6</v>
      </c>
      <c r="K53" s="24" t="n">
        <v>465.3</v>
      </c>
      <c r="L53" s="25" t="n">
        <v>316.8</v>
      </c>
      <c r="M53" s="20" t="inlineStr">
        <is>
          <t>NB:Y REN:n RWR:n</t>
        </is>
      </c>
    </row>
    <row r="54">
      <c r="A54" s="22" t="inlineStr">
        <is>
          <t>April</t>
        </is>
      </c>
      <c r="B54" s="21" t="n">
        <v>22</v>
      </c>
      <c r="C54" s="22" t="n">
        <v>29755.49</v>
      </c>
      <c r="D54" s="21" t="n">
        <v>2</v>
      </c>
      <c r="E54" s="22" t="n">
        <v>2514</v>
      </c>
      <c r="F54" s="21" t="n">
        <v>22</v>
      </c>
      <c r="G54" s="8" t="n">
        <v>350</v>
      </c>
      <c r="H54" s="11" t="n">
        <v>227.8</v>
      </c>
      <c r="I54" s="23" t="n">
        <v>0</v>
      </c>
      <c r="J54" s="22" t="n">
        <v>-350</v>
      </c>
      <c r="K54" s="24" t="n">
        <v>0</v>
      </c>
      <c r="L54" s="25" t="n">
        <v>0</v>
      </c>
      <c r="M54" s="20" t="inlineStr">
        <is>
          <t>NB:n REN:n RWR:n</t>
        </is>
      </c>
    </row>
    <row r="55">
      <c r="A55" s="26" t="inlineStr">
        <is>
          <t>4-Month Total</t>
        </is>
      </c>
      <c r="B55" s="35" t="n"/>
      <c r="C55" s="35" t="n"/>
      <c r="D55" s="35" t="n"/>
      <c r="E55" s="35" t="n"/>
      <c r="F55" s="35" t="n"/>
      <c r="G55" s="27" t="n">
        <v>1940</v>
      </c>
      <c r="H55" s="27" t="n">
        <v>1160.6</v>
      </c>
      <c r="I55" s="27" t="n">
        <v>356.4</v>
      </c>
      <c r="J55" s="27" t="n">
        <v>-1583.6</v>
      </c>
      <c r="K55" s="27" t="n">
        <v>465.3</v>
      </c>
      <c r="L55" s="27" t="n">
        <v>316.8</v>
      </c>
      <c r="M55" s="35" t="n"/>
    </row>
    <row r="56" ht="30" customHeight="1">
      <c r="A56" s="36" t="inlineStr">
        <is>
          <t>Read: under PREVIOUS plan Monica earned $1,940 in 4 months. Under NEW Proposal A WITHOUT minimums it would be $1,161. WITH $50k/$50k minimums it drops to $356 because the REN gate barely opens.</t>
        </is>
      </c>
    </row>
  </sheetData>
  <mergeCells count="14">
    <mergeCell ref="A13:M13"/>
    <mergeCell ref="A1:M1"/>
    <mergeCell ref="A31:M31"/>
    <mergeCell ref="A22:M22"/>
    <mergeCell ref="A40:M40"/>
    <mergeCell ref="A56:M56"/>
    <mergeCell ref="A4:M4"/>
    <mergeCell ref="A29:M29"/>
    <mergeCell ref="A49:M49"/>
    <mergeCell ref="A20:M20"/>
    <mergeCell ref="A38:M38"/>
    <mergeCell ref="A2:M2"/>
    <mergeCell ref="A11:M11"/>
    <mergeCell ref="A47:M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2" customWidth="1" min="1" max="1"/>
    <col width="26" customWidth="1" min="2" max="2"/>
    <col width="30" customWidth="1" min="3" max="3"/>
    <col width="32" customWidth="1" min="4" max="4"/>
    <col width="28" customWidth="1" min="5" max="5"/>
  </cols>
  <sheetData>
    <row r="1">
      <c r="A1" s="1" t="inlineStr">
        <is>
          <t>Rules: Current vs Proposal A vs Proposal B vs Proposal C</t>
        </is>
      </c>
    </row>
    <row r="2">
      <c r="A2" s="29" t="inlineStr">
        <is>
          <t>One-row-per-rule view of all four plans. Use this to compare. A and B are the main proposals (do NOT mix them).</t>
        </is>
      </c>
    </row>
    <row r="4">
      <c r="A4" s="6" t="inlineStr">
        <is>
          <t>Rule</t>
        </is>
      </c>
      <c r="B4" s="6" t="inlineStr">
        <is>
          <t>Current</t>
        </is>
      </c>
      <c r="C4" s="6" t="inlineStr">
        <is>
          <t>Proposal A (Premium)</t>
        </is>
      </c>
      <c r="D4" s="6" t="inlineStr">
        <is>
          <t>Proposal B (Coverage)</t>
        </is>
      </c>
      <c r="E4" s="6" t="inlineStr">
        <is>
          <t>Proposal C (Persistency)</t>
        </is>
      </c>
    </row>
    <row r="5" ht="30" customHeight="1">
      <c r="A5" s="20" t="inlineStr">
        <is>
          <t>Bonus base</t>
        </is>
      </c>
      <c r="B5" s="9" t="inlineStr">
        <is>
          <t>Count tier (NB+RWR)</t>
        </is>
      </c>
      <c r="C5" s="12" t="inlineStr">
        <is>
          <t>Written premium tier</t>
        </is>
      </c>
      <c r="D5" s="15" t="inlineStr">
        <is>
          <t>Coverage type</t>
        </is>
      </c>
      <c r="E5" s="18" t="inlineStr">
        <is>
          <t>Flat per policy</t>
        </is>
      </c>
    </row>
    <row r="6" ht="30" customHeight="1">
      <c r="A6" s="20" t="inlineStr">
        <is>
          <t>NB - low premium (&lt; $1,200)</t>
        </is>
      </c>
      <c r="B6" s="9" t="inlineStr">
        <is>
          <t>Count toward tier</t>
        </is>
      </c>
      <c r="C6" s="12" t="inlineStr">
        <is>
          <t>$5</t>
        </is>
      </c>
      <c r="D6" s="15" t="inlineStr">
        <is>
          <t>$10 (base coverage)</t>
        </is>
      </c>
      <c r="E6" s="18" t="inlineStr">
        <is>
          <t>$8</t>
        </is>
      </c>
    </row>
    <row r="7" ht="30" customHeight="1">
      <c r="A7" s="20" t="inlineStr">
        <is>
          <t>NB - medium premium</t>
        </is>
      </c>
      <c r="B7" s="9" t="inlineStr">
        <is>
          <t>Count toward tier</t>
        </is>
      </c>
      <c r="C7" s="12" t="inlineStr">
        <is>
          <t>$7-$11 (tier)</t>
        </is>
      </c>
      <c r="D7" s="15" t="inlineStr">
        <is>
          <t>$10 (base) + $5 if BI+UM</t>
        </is>
      </c>
      <c r="E7" s="18" t="inlineStr">
        <is>
          <t>$8</t>
        </is>
      </c>
    </row>
    <row r="8" ht="30" customHeight="1">
      <c r="A8" s="20" t="inlineStr">
        <is>
          <t>NB - high premium ($3,000+)</t>
        </is>
      </c>
      <c r="B8" s="9" t="inlineStr">
        <is>
          <t>Count toward tier</t>
        </is>
      </c>
      <c r="C8" s="12" t="inlineStr">
        <is>
          <t>$11 + $2/$1k, cap $25</t>
        </is>
      </c>
      <c r="D8" s="15" t="inlineStr">
        <is>
          <t>$10 (base) + $5 if BI+UM</t>
        </is>
      </c>
      <c r="E8" s="18" t="inlineStr">
        <is>
          <t>$8</t>
        </is>
      </c>
    </row>
    <row r="9" ht="30" customHeight="1">
      <c r="A9" s="20" t="inlineStr">
        <is>
          <t>REN - any</t>
        </is>
      </c>
      <c r="B9" s="9" t="inlineStr">
        <is>
          <t>PAYS NOTHING</t>
        </is>
      </c>
      <c r="C9" s="12" t="inlineStr">
        <is>
          <t>$4 / $5 / $6 by premium tier</t>
        </is>
      </c>
      <c r="D9" s="15" t="inlineStr">
        <is>
          <t>$6 (base) + $3 if BI+UM</t>
        </is>
      </c>
      <c r="E9" s="18" t="inlineStr">
        <is>
          <t>$8 (PARITY with NB)</t>
        </is>
      </c>
    </row>
    <row r="10" ht="30" customHeight="1">
      <c r="A10" s="20" t="inlineStr">
        <is>
          <t>RWR - any</t>
        </is>
      </c>
      <c r="B10" s="9" t="inlineStr">
        <is>
          <t>Count toward tier (BAD)</t>
        </is>
      </c>
      <c r="C10" s="12" t="inlineStr">
        <is>
          <t>$2 flat</t>
        </is>
      </c>
      <c r="D10" s="15" t="inlineStr">
        <is>
          <t>$2 flat</t>
        </is>
      </c>
      <c r="E10" s="18" t="inlineStr">
        <is>
          <t>$1 flat (LOWER)</t>
        </is>
      </c>
    </row>
    <row r="11" ht="30" customHeight="1">
      <c r="A11" s="20" t="inlineStr">
        <is>
          <t>Coverage detail</t>
        </is>
      </c>
      <c r="B11" s="9" t="inlineStr">
        <is>
          <t>Not tracked</t>
        </is>
      </c>
      <c r="C11" s="12" t="inlineStr">
        <is>
          <t>Not paid separately</t>
        </is>
      </c>
      <c r="D11" s="15" t="inlineStr">
        <is>
          <t>BI+UM bundle = +$5 NB / +$3 REN</t>
        </is>
      </c>
      <c r="E11" s="18" t="inlineStr">
        <is>
          <t>Not tracked</t>
        </is>
      </c>
    </row>
    <row r="12" ht="30" customHeight="1">
      <c r="A12" s="20" t="inlineStr">
        <is>
          <t>PIF add</t>
        </is>
      </c>
      <c r="B12" s="9" t="inlineStr">
        <is>
          <t>Not paid</t>
        </is>
      </c>
      <c r="C12" s="12" t="inlineStr">
        <is>
          <t>+$8 NB / +$12 high NB / +$5 REN</t>
        </is>
      </c>
      <c r="D12" s="15" t="inlineStr">
        <is>
          <t>+$8 NB / +$12 high NB / +$5 REN</t>
        </is>
      </c>
      <c r="E12" s="18" t="inlineStr">
        <is>
          <t>No (kicker only)</t>
        </is>
      </c>
    </row>
    <row r="13" ht="30" customHeight="1">
      <c r="A13" s="20" t="inlineStr">
        <is>
          <t>Collected % kicker</t>
        </is>
      </c>
      <c r="B13" s="9" t="inlineStr">
        <is>
          <t>NONE</t>
        </is>
      </c>
      <c r="C13" s="12" t="inlineStr">
        <is>
          <t>+10% / +15% / +20% / +25%</t>
        </is>
      </c>
      <c r="D13" s="15" t="inlineStr">
        <is>
          <t>Same as A</t>
        </is>
      </c>
      <c r="E13" s="18" t="inlineStr">
        <is>
          <t>Same as A</t>
        </is>
      </c>
    </row>
    <row r="14" ht="30" customHeight="1">
      <c r="A14" s="20" t="inlineStr">
        <is>
          <t>Monthly minimum (NEW)</t>
        </is>
      </c>
      <c r="B14" s="9" t="inlineStr">
        <is>
          <t>35 policies NB+RWR</t>
        </is>
      </c>
      <c r="C14" s="12" t="inlineStr">
        <is>
          <t>NB &gt;= $50k AND REN &gt;= $50k</t>
        </is>
      </c>
      <c r="D14" s="15" t="inlineStr">
        <is>
          <t>Same as A</t>
        </is>
      </c>
      <c r="E14" s="18" t="inlineStr">
        <is>
          <t>Same as A</t>
        </is>
      </c>
    </row>
    <row r="15" ht="30" customHeight="1">
      <c r="A15" s="20" t="inlineStr">
        <is>
          <t>RWR gate</t>
        </is>
      </c>
      <c r="B15" s="9" t="inlineStr">
        <is>
          <t>No - RWR counts toward 35</t>
        </is>
      </c>
      <c r="C15" s="12" t="inlineStr">
        <is>
          <t>RWR paid only if BOTH NB+REN gates pass</t>
        </is>
      </c>
      <c r="D15" s="15" t="inlineStr">
        <is>
          <t>Same as A</t>
        </is>
      </c>
      <c r="E15" s="18" t="inlineStr">
        <is>
          <t>Same as A</t>
        </is>
      </c>
    </row>
    <row r="16" ht="30" customHeight="1">
      <c r="A16" s="20" t="inlineStr">
        <is>
          <t>Profit protection</t>
        </is>
      </c>
      <c r="B16" s="9" t="inlineStr">
        <is>
          <t>None per-policy</t>
        </is>
      </c>
      <c r="C16" s="12" t="inlineStr">
        <is>
          <t>40% safe net review + 90-day chargeback + minimums</t>
        </is>
      </c>
      <c r="D16" s="15" t="inlineStr">
        <is>
          <t>Same as A</t>
        </is>
      </c>
      <c r="E16" s="18" t="inlineStr">
        <is>
          <t>Same as A</t>
        </is>
      </c>
    </row>
    <row r="17" ht="30" customHeight="1">
      <c r="A17" s="20" t="inlineStr">
        <is>
          <t>Best for</t>
        </is>
      </c>
      <c r="B17" s="9" t="inlineStr">
        <is>
          <t>Status quo only</t>
        </is>
      </c>
      <c r="C17" s="12" t="inlineStr">
        <is>
          <t>Simple payroll, premium-focused</t>
        </is>
      </c>
      <c r="D17" s="15" t="inlineStr">
        <is>
          <t>Coverage upsell, agent motivation</t>
        </is>
      </c>
      <c r="E17" s="18" t="inlineStr">
        <is>
          <t>Killing the rewrite habit</t>
        </is>
      </c>
    </row>
    <row r="18" ht="30" customHeight="1">
      <c r="A18" s="20" t="inlineStr">
        <is>
          <t>Tradeoff</t>
        </is>
      </c>
      <c r="B18" s="9" t="inlineStr">
        <is>
          <t>Rewards churning</t>
        </is>
      </c>
      <c r="C18" s="12" t="inlineStr">
        <is>
          <t>Less generous than B</t>
        </is>
      </c>
      <c r="D18" s="15" t="inlineStr">
        <is>
          <t>More generous, requires coverage tracking</t>
        </is>
      </c>
      <c r="E18" s="18" t="inlineStr">
        <is>
          <t>No premium/coverage signal</t>
        </is>
      </c>
    </row>
    <row r="19" ht="30" customHeight="1">
      <c r="A19" s="20" t="inlineStr">
        <is>
          <t>Recommended decision</t>
        </is>
      </c>
      <c r="B19" s="9" t="inlineStr">
        <is>
          <t>Phase out</t>
        </is>
      </c>
      <c r="C19" s="12" t="inlineStr">
        <is>
          <t>Conservative choice</t>
        </is>
      </c>
      <c r="D19" s="15" t="inlineStr">
        <is>
          <t>PILOT (recommended)</t>
        </is>
      </c>
      <c r="E19" s="18" t="inlineStr">
        <is>
          <t>If A or B rejected</t>
        </is>
      </c>
    </row>
    <row r="20" ht="30" customHeight="1">
      <c r="A20" s="20" t="inlineStr">
        <is>
          <t>4-month cost - REAL, no min</t>
        </is>
      </c>
      <c r="B20" s="9" t="inlineStr">
        <is>
          <t>$12,220</t>
        </is>
      </c>
      <c r="C20" s="12" t="inlineStr">
        <is>
          <t>$6,219</t>
        </is>
      </c>
      <c r="D20" s="15" t="inlineStr">
        <is>
          <t>$9,459</t>
        </is>
      </c>
      <c r="E20" s="18" t="inlineStr">
        <is>
          <t>$6,481</t>
        </is>
      </c>
    </row>
    <row r="21" ht="30" customHeight="1">
      <c r="A21" s="20" t="inlineStr">
        <is>
          <t>4-month cost - REAL, WITH min</t>
        </is>
      </c>
      <c r="B21" s="9" t="inlineStr">
        <is>
          <t>$12,220</t>
        </is>
      </c>
      <c r="C21" s="12" t="inlineStr">
        <is>
          <t>$649</t>
        </is>
      </c>
      <c r="D21" s="15" t="inlineStr">
        <is>
          <t>$956</t>
        </is>
      </c>
      <c r="E21" s="18" t="inlineStr">
        <is>
          <t>$651</t>
        </is>
      </c>
    </row>
    <row r="22" ht="30" customHeight="1">
      <c r="A22" s="20" t="inlineStr">
        <is>
          <t>4-month cost - SWAP, no min</t>
        </is>
      </c>
      <c r="B22" s="9" t="inlineStr">
        <is>
          <t>$7,110</t>
        </is>
      </c>
      <c r="C22" s="12" t="inlineStr">
        <is>
          <t>$7,474</t>
        </is>
      </c>
      <c r="D22" s="15" t="inlineStr">
        <is>
          <t>$11,616</t>
        </is>
      </c>
      <c r="E22" s="18" t="inlineStr">
        <is>
          <t>$9,565</t>
        </is>
      </c>
    </row>
    <row r="23" ht="30" customHeight="1">
      <c r="A23" s="20" t="inlineStr">
        <is>
          <t>4-month cost - SWAP, WITH min</t>
        </is>
      </c>
      <c r="B23" s="9" t="inlineStr">
        <is>
          <t>$7,110</t>
        </is>
      </c>
      <c r="C23" s="12" t="inlineStr">
        <is>
          <t>$1,313</t>
        </is>
      </c>
      <c r="D23" s="15" t="inlineStr">
        <is>
          <t>$1,808</t>
        </is>
      </c>
      <c r="E23" s="18" t="inlineStr">
        <is>
          <t>$1,587</t>
        </is>
      </c>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8" customWidth="1" min="1" max="1"/>
    <col width="30" customWidth="1" min="2" max="2"/>
    <col width="22" customWidth="1" min="3" max="3"/>
    <col width="36" customWidth="1" min="4" max="4"/>
    <col width="22" customWidth="1" min="5" max="5"/>
    <col width="18" customWidth="1" min="6" max="6"/>
    <col width="25" customWidth="1" min="7" max="7"/>
  </cols>
  <sheetData>
    <row r="1">
      <c r="A1" s="37" t="inlineStr">
        <is>
          <t>Proposal A: PREMIUM-BASED Plan</t>
        </is>
      </c>
    </row>
    <row r="2">
      <c r="A2" s="29" t="inlineStr">
        <is>
          <t>How it works: Each policy is paid by WRITTEN PREMIUM tier. Then the COLLECTED % kicker is applied. Then total is capped at 15% of safe net.</t>
        </is>
      </c>
    </row>
    <row r="4">
      <c r="A4" s="6" t="inlineStr">
        <is>
          <t>Component</t>
        </is>
      </c>
      <c r="B4" s="6" t="inlineStr">
        <is>
          <t>Rule</t>
        </is>
      </c>
      <c r="C4" s="6" t="inlineStr">
        <is>
          <t>Per-Policy Pay</t>
        </is>
      </c>
      <c r="D4" s="6" t="inlineStr">
        <is>
          <t>Plain English</t>
        </is>
      </c>
      <c r="E4" s="6" t="inlineStr">
        <is>
          <t>Example</t>
        </is>
      </c>
      <c r="F4" s="6" t="inlineStr">
        <is>
          <t>Example Pay</t>
        </is>
      </c>
      <c r="G4" s="6" t="inlineStr">
        <is>
          <t>Notes</t>
        </is>
      </c>
    </row>
    <row r="5">
      <c r="A5" s="38" t="inlineStr">
        <is>
          <t>NB</t>
        </is>
      </c>
      <c r="B5" s="38" t="inlineStr">
        <is>
          <t>Written premium under $1,200</t>
        </is>
      </c>
      <c r="C5" s="38" t="inlineStr">
        <is>
          <t>$5</t>
        </is>
      </c>
      <c r="D5" s="38" t="inlineStr">
        <is>
          <t>Low-premium NB earns base.</t>
        </is>
      </c>
      <c r="E5" s="38" t="inlineStr">
        <is>
          <t>$1,000 NB</t>
        </is>
      </c>
      <c r="F5" s="38" t="inlineStr">
        <is>
          <t>$5</t>
        </is>
      </c>
      <c r="G5" s="38" t="inlineStr">
        <is>
          <t>Before kicker/cap</t>
        </is>
      </c>
    </row>
    <row r="6">
      <c r="A6" s="12" t="inlineStr">
        <is>
          <t>NB</t>
        </is>
      </c>
      <c r="B6" s="12" t="inlineStr">
        <is>
          <t>$1,200-$1,799</t>
        </is>
      </c>
      <c r="C6" s="12" t="inlineStr">
        <is>
          <t>$7</t>
        </is>
      </c>
      <c r="D6" s="12" t="inlineStr">
        <is>
          <t>Medium NB.</t>
        </is>
      </c>
      <c r="E6" s="12" t="inlineStr">
        <is>
          <t>$1,500 NB</t>
        </is>
      </c>
      <c r="F6" s="12" t="inlineStr">
        <is>
          <t>$7</t>
        </is>
      </c>
      <c r="G6" s="12" t="inlineStr">
        <is>
          <t>Before kicker/cap</t>
        </is>
      </c>
    </row>
    <row r="7">
      <c r="A7" s="38" t="inlineStr">
        <is>
          <t>NB</t>
        </is>
      </c>
      <c r="B7" s="38" t="inlineStr">
        <is>
          <t>$1,800-$2,199</t>
        </is>
      </c>
      <c r="C7" s="38" t="inlineStr">
        <is>
          <t>$9</t>
        </is>
      </c>
      <c r="D7" s="38" t="inlineStr">
        <is>
          <t>Better premium NB.</t>
        </is>
      </c>
      <c r="E7" s="38" t="inlineStr">
        <is>
          <t>$2,000 NB</t>
        </is>
      </c>
      <c r="F7" s="38" t="inlineStr">
        <is>
          <t>$9</t>
        </is>
      </c>
      <c r="G7" s="38" t="inlineStr">
        <is>
          <t>Before kicker/cap</t>
        </is>
      </c>
    </row>
    <row r="8">
      <c r="A8" s="12" t="inlineStr">
        <is>
          <t>NB</t>
        </is>
      </c>
      <c r="B8" s="12" t="inlineStr">
        <is>
          <t>$2,200-$2,999</t>
        </is>
      </c>
      <c r="C8" s="12" t="inlineStr">
        <is>
          <t>$11</t>
        </is>
      </c>
      <c r="D8" s="12" t="inlineStr">
        <is>
          <t>Strong premium NB.</t>
        </is>
      </c>
      <c r="E8" s="12" t="inlineStr">
        <is>
          <t>$2,500 NB</t>
        </is>
      </c>
      <c r="F8" s="12" t="inlineStr">
        <is>
          <t>$11</t>
        </is>
      </c>
      <c r="G8" s="12" t="inlineStr">
        <is>
          <t>Before kicker/cap</t>
        </is>
      </c>
    </row>
    <row r="9">
      <c r="A9" s="38" t="inlineStr">
        <is>
          <t>NB</t>
        </is>
      </c>
      <c r="B9" s="38" t="inlineStr">
        <is>
          <t>$3,000+</t>
        </is>
      </c>
      <c r="C9" s="38" t="inlineStr">
        <is>
          <t>$11 + $2 per $1k over $3k, cap $25</t>
        </is>
      </c>
      <c r="D9" s="38" t="inlineStr">
        <is>
          <t>Commercial / high-premium upside.</t>
        </is>
      </c>
      <c r="E9" s="38" t="inlineStr">
        <is>
          <t>$4,500 NB</t>
        </is>
      </c>
      <c r="F9" s="38" t="inlineStr">
        <is>
          <t>$11 + $3 = $14</t>
        </is>
      </c>
      <c r="G9" s="38" t="inlineStr">
        <is>
          <t>Before kicker/cap</t>
        </is>
      </c>
    </row>
    <row r="10">
      <c r="A10" s="12" t="inlineStr">
        <is>
          <t>REN</t>
        </is>
      </c>
      <c r="B10" s="12" t="inlineStr">
        <is>
          <t>Under $1,200</t>
        </is>
      </c>
      <c r="C10" s="12" t="inlineStr">
        <is>
          <t>$4</t>
        </is>
      </c>
      <c r="D10" s="12" t="inlineStr">
        <is>
          <t>Renewals are PAID separately. Below NB on purpose.</t>
        </is>
      </c>
      <c r="E10" s="12" t="inlineStr">
        <is>
          <t>$1,000 REN</t>
        </is>
      </c>
      <c r="F10" s="12" t="inlineStr">
        <is>
          <t>$4</t>
        </is>
      </c>
      <c r="G10" s="12" t="inlineStr">
        <is>
          <t>Before kicker/cap</t>
        </is>
      </c>
    </row>
    <row r="11">
      <c r="A11" s="38" t="inlineStr">
        <is>
          <t>REN</t>
        </is>
      </c>
      <c r="B11" s="38" t="inlineStr">
        <is>
          <t>$1,200-$1,799</t>
        </is>
      </c>
      <c r="C11" s="38" t="inlineStr">
        <is>
          <t>$5</t>
        </is>
      </c>
      <c r="D11" s="38" t="inlineStr">
        <is>
          <t>Medium REN.</t>
        </is>
      </c>
      <c r="E11" s="38" t="inlineStr">
        <is>
          <t>$1,500 REN</t>
        </is>
      </c>
      <c r="F11" s="38" t="inlineStr">
        <is>
          <t>$5</t>
        </is>
      </c>
      <c r="G11" s="38" t="inlineStr">
        <is>
          <t>Before kicker/cap</t>
        </is>
      </c>
    </row>
    <row r="12">
      <c r="A12" s="12" t="inlineStr">
        <is>
          <t>REN</t>
        </is>
      </c>
      <c r="B12" s="12" t="inlineStr">
        <is>
          <t>$1,800+</t>
        </is>
      </c>
      <c r="C12" s="12" t="inlineStr">
        <is>
          <t>$6</t>
        </is>
      </c>
      <c r="D12" s="12" t="inlineStr">
        <is>
          <t>High REN.</t>
        </is>
      </c>
      <c r="E12" s="12" t="inlineStr">
        <is>
          <t>$2,000 REN</t>
        </is>
      </c>
      <c r="F12" s="12" t="inlineStr">
        <is>
          <t>$6</t>
        </is>
      </c>
      <c r="G12" s="12" t="inlineStr">
        <is>
          <t>Before kicker/cap</t>
        </is>
      </c>
    </row>
    <row r="13">
      <c r="A13" s="38" t="inlineStr">
        <is>
          <t>RWR</t>
        </is>
      </c>
      <c r="B13" s="38" t="inlineStr">
        <is>
          <t>Any rewrite</t>
        </is>
      </c>
      <c r="C13" s="38" t="inlineStr">
        <is>
          <t>$2 flat</t>
        </is>
      </c>
      <c r="D13" s="38" t="inlineStr">
        <is>
          <t>Rewrites are paid but DO NOT drive the bonus.</t>
        </is>
      </c>
      <c r="E13" s="38" t="inlineStr">
        <is>
          <t>Any RWR</t>
        </is>
      </c>
      <c r="F13" s="38" t="inlineStr">
        <is>
          <t>$2</t>
        </is>
      </c>
      <c r="G13" s="38" t="inlineStr">
        <is>
          <t>No kicker stacking by tier</t>
        </is>
      </c>
    </row>
    <row r="14">
      <c r="A14" s="12" t="inlineStr">
        <is>
          <t>Collected Kicker</t>
        </is>
      </c>
      <c r="B14" s="12" t="inlineStr">
        <is>
          <t>Applies to the per-policy pay</t>
        </is>
      </c>
      <c r="C14" s="12" t="inlineStr">
        <is>
          <t>+10% / +15% / +20% / +25%</t>
        </is>
      </c>
      <c r="D14" s="12" t="inlineStr">
        <is>
          <t>15-24% / 25-49% / 50-99% / 100% (PIF)</t>
        </is>
      </c>
      <c r="E14" s="12" t="inlineStr">
        <is>
          <t>$10 target x 25% collected</t>
        </is>
      </c>
      <c r="F14" s="12" t="inlineStr">
        <is>
          <t>$10 x 1.15 = $11.50</t>
        </is>
      </c>
      <c r="G14" s="12" t="inlineStr">
        <is>
          <t>Same logic both A and B</t>
        </is>
      </c>
    </row>
    <row r="15">
      <c r="A15" s="38" t="inlineStr">
        <is>
          <t>PIF Add (when paid in full)</t>
        </is>
      </c>
      <c r="B15" s="38" t="inlineStr">
        <is>
          <t>NB under $3,000 = +$8 / NB $3,000+ = +$12 / REN PIF = +$5</t>
        </is>
      </c>
      <c r="C15" s="38" t="inlineStr">
        <is>
          <t>Per-policy add-on</t>
        </is>
      </c>
      <c r="D15" s="38" t="inlineStr">
        <is>
          <t>PIF means cash collected upfront - lower risk.</t>
        </is>
      </c>
      <c r="E15" s="38" t="inlineStr">
        <is>
          <t>$2,500 NB PIF</t>
        </is>
      </c>
      <c r="F15" s="38" t="inlineStr">
        <is>
          <t>$11 base + $8 PIF = $19</t>
        </is>
      </c>
      <c r="G15" s="38" t="inlineStr">
        <is>
          <t>Manager verifies PIF</t>
        </is>
      </c>
    </row>
    <row r="16">
      <c r="A16" s="12" t="inlineStr">
        <is>
          <t>Review Threshold (soft cap)</t>
        </is>
      </c>
      <c r="B16" s="12" t="inlineStr">
        <is>
          <t>Target &gt; 40% of safe net</t>
        </is>
      </c>
      <c r="C16" s="12" t="inlineStr">
        <is>
          <t>Flag for ownership review</t>
        </is>
      </c>
      <c r="D16" s="12" t="inlineStr">
        <is>
          <t>Catches low-collection months. Does NOT auto-reduce pay.</t>
        </is>
      </c>
      <c r="E16" s="12" t="inlineStr">
        <is>
          <t>Safe net $200, target $80 (40%)</t>
        </is>
      </c>
      <c r="F16" s="12" t="inlineStr">
        <is>
          <t>Pay $80, flag for review</t>
        </is>
      </c>
      <c r="G16" s="12" t="inlineStr">
        <is>
          <t>40% review / 55% PIF review</t>
        </is>
      </c>
    </row>
    <row r="17">
      <c r="A17" s="38" t="inlineStr">
        <is>
          <t>Chargeback (PRIMARY PROTECTION)</t>
        </is>
      </c>
      <c r="B17" s="38" t="inlineStr">
        <is>
          <t>90 days</t>
        </is>
      </c>
      <c r="C17" s="38" t="inlineStr">
        <is>
          <t>100% reversal</t>
        </is>
      </c>
      <c r="D17" s="38" t="inlineStr">
        <is>
          <t>If a paid policy cancels or rewrites within 90 days, full bonus is reversed.</t>
        </is>
      </c>
      <c r="E17" s="38" t="inlineStr">
        <is>
          <t>$12 paid Jan, cancels Mar</t>
        </is>
      </c>
      <c r="F17" s="38" t="inlineStr">
        <is>
          <t>-$12 in next payroll</t>
        </is>
      </c>
      <c r="G17" s="38" t="inlineStr">
        <is>
          <t>Required</t>
        </is>
      </c>
    </row>
    <row r="19">
      <c r="A19" s="5" t="inlineStr">
        <is>
          <t>Why this plan</t>
        </is>
      </c>
    </row>
    <row r="20">
      <c r="A20" s="39" t="inlineStr">
        <is>
          <t>* Simple payroll math: count policies x tier x kicker = target.</t>
        </is>
      </c>
    </row>
    <row r="21">
      <c r="A21" s="39" t="inlineStr">
        <is>
          <t>* Self-balancing: higher-premium business naturally earns more. No coverage paperwork required.</t>
        </is>
      </c>
    </row>
    <row r="22">
      <c r="A22" s="39" t="inlineStr">
        <is>
          <t>* Renewals matter for the first time, but stay below NB so the agent still hunts new business.</t>
        </is>
      </c>
    </row>
    <row r="23">
      <c r="A23" s="39" t="inlineStr">
        <is>
          <t>* Rewrites stay flat at $2 - they are no longer the path to a bigger bonus.</t>
        </is>
      </c>
    </row>
    <row r="24">
      <c r="A24" s="39" t="inlineStr">
        <is>
          <t>* Profitability cap means a high-target month does not become a payroll problem.</t>
        </is>
      </c>
    </row>
  </sheetData>
  <mergeCells count="8">
    <mergeCell ref="A1:G1"/>
    <mergeCell ref="A21:G21"/>
    <mergeCell ref="A22:G22"/>
    <mergeCell ref="A20:G20"/>
    <mergeCell ref="A24:G24"/>
    <mergeCell ref="A2:G2"/>
    <mergeCell ref="A19:G19"/>
    <mergeCell ref="A23:G2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22" customWidth="1" min="1" max="1"/>
    <col width="34" customWidth="1" min="2" max="2"/>
    <col width="28" customWidth="1" min="3" max="3"/>
    <col width="40" customWidth="1" min="4" max="4"/>
    <col width="28" customWidth="1" min="5" max="5"/>
    <col width="22" customWidth="1" min="6" max="6"/>
    <col width="25" customWidth="1" min="7" max="7"/>
  </cols>
  <sheetData>
    <row r="1">
      <c r="A1" s="40" t="inlineStr">
        <is>
          <t>Proposal B: COVERAGE-BASED Plan</t>
        </is>
      </c>
    </row>
    <row r="2">
      <c r="A2" s="29" t="inlineStr">
        <is>
          <t>How it works: Each policy is paid by COVERAGE TYPE. No premium tiers. The COLLECTED % kicker is applied. Then total is capped at 15% of safe net.</t>
        </is>
      </c>
    </row>
    <row r="4">
      <c r="A4" s="6" t="inlineStr">
        <is>
          <t>Component</t>
        </is>
      </c>
      <c r="B4" s="6" t="inlineStr">
        <is>
          <t>Rule</t>
        </is>
      </c>
      <c r="C4" s="6" t="inlineStr">
        <is>
          <t>Per-Policy Pay</t>
        </is>
      </c>
      <c r="D4" s="6" t="inlineStr">
        <is>
          <t>Plain English</t>
        </is>
      </c>
      <c r="E4" s="6" t="inlineStr">
        <is>
          <t>Example</t>
        </is>
      </c>
      <c r="F4" s="6" t="inlineStr">
        <is>
          <t>Example Pay</t>
        </is>
      </c>
      <c r="G4" s="6" t="inlineStr">
        <is>
          <t>Notes</t>
        </is>
      </c>
    </row>
    <row r="5">
      <c r="A5" s="41" t="inlineStr">
        <is>
          <t>NB Base Coverage</t>
        </is>
      </c>
      <c r="B5" s="41" t="inlineStr">
        <is>
          <t>PIP/PD only OR PIP + Comp/Coll</t>
        </is>
      </c>
      <c r="C5" s="41" t="inlineStr">
        <is>
          <t>$10 flat</t>
        </is>
      </c>
      <c r="D5" s="41" t="inlineStr">
        <is>
          <t>Either FL minimum or full coverage qualifies for the base.</t>
        </is>
      </c>
      <c r="E5" s="41" t="inlineStr">
        <is>
          <t>PIP+PD NB or PIP+Comp+Coll NB</t>
        </is>
      </c>
      <c r="F5" s="41" t="inlineStr">
        <is>
          <t>$10</t>
        </is>
      </c>
      <c r="G5" s="41" t="inlineStr">
        <is>
          <t>Per policy, before kicker</t>
        </is>
      </c>
    </row>
    <row r="6">
      <c r="A6" s="15" t="inlineStr">
        <is>
          <t>NB Liability Add</t>
        </is>
      </c>
      <c r="B6" s="15" t="inlineStr">
        <is>
          <t>BI + UM bundled together</t>
        </is>
      </c>
      <c r="C6" s="15" t="inlineStr">
        <is>
          <t>+$5</t>
        </is>
      </c>
      <c r="D6" s="15" t="inlineStr">
        <is>
          <t>Adds liability. Bundled because UM cannot exist without BI in FL.</t>
        </is>
      </c>
      <c r="E6" s="15" t="inlineStr">
        <is>
          <t>NB with BI + UM</t>
        </is>
      </c>
      <c r="F6" s="15" t="inlineStr">
        <is>
          <t>$10 + $5 = $15</t>
        </is>
      </c>
      <c r="G6" s="15" t="inlineStr">
        <is>
          <t>Bundle only - see below</t>
        </is>
      </c>
    </row>
    <row r="7">
      <c r="A7" s="41" t="inlineStr">
        <is>
          <t>NB - BI ALONE</t>
        </is>
      </c>
      <c r="B7" s="41" t="inlineStr">
        <is>
          <t>BI present but NO UM</t>
        </is>
      </c>
      <c r="C7" s="41" t="inlineStr">
        <is>
          <t>$0 add (base only)</t>
        </is>
      </c>
      <c r="D7" s="41" t="inlineStr">
        <is>
          <t>Does not earn the liability bundle. Customer is still partially exposed.</t>
        </is>
      </c>
      <c r="E7" s="41" t="inlineStr">
        <is>
          <t>NB with BI no UM</t>
        </is>
      </c>
      <c r="F7" s="41" t="inlineStr">
        <is>
          <t>$10 base only</t>
        </is>
      </c>
      <c r="G7" s="41" t="inlineStr">
        <is>
          <t>Manager verifies</t>
        </is>
      </c>
    </row>
    <row r="8">
      <c r="A8" s="15" t="inlineStr">
        <is>
          <t>NB - UM ALONE</t>
        </is>
      </c>
      <c r="B8" s="15" t="inlineStr">
        <is>
          <t>Not possible</t>
        </is>
      </c>
      <c r="C8" s="15" t="inlineStr">
        <is>
          <t>Not applicable</t>
        </is>
      </c>
      <c r="D8" s="15" t="inlineStr">
        <is>
          <t>UM cannot be issued without BI per FL rules. Bundle exists for this reason.</t>
        </is>
      </c>
      <c r="E8" s="15" t="inlineStr">
        <is>
          <t>-</t>
        </is>
      </c>
      <c r="F8" s="15" t="inlineStr">
        <is>
          <t>-</t>
        </is>
      </c>
      <c r="G8" s="15" t="inlineStr">
        <is>
          <t>Carrier system blocks this</t>
        </is>
      </c>
    </row>
    <row r="9">
      <c r="A9" s="41" t="inlineStr">
        <is>
          <t>REN Base Coverage</t>
        </is>
      </c>
      <c r="B9" s="41" t="inlineStr">
        <is>
          <t>Same coverage logic as NB</t>
        </is>
      </c>
      <c r="C9" s="41" t="inlineStr">
        <is>
          <t>$6 flat</t>
        </is>
      </c>
      <c r="D9" s="41" t="inlineStr">
        <is>
          <t>Renewals paid for the first time, but below NB.</t>
        </is>
      </c>
      <c r="E9" s="41" t="inlineStr">
        <is>
          <t>Any REN</t>
        </is>
      </c>
      <c r="F9" s="41" t="inlineStr">
        <is>
          <t>$6</t>
        </is>
      </c>
      <c r="G9" s="41" t="inlineStr">
        <is>
          <t>Before kicker</t>
        </is>
      </c>
    </row>
    <row r="10">
      <c r="A10" s="15" t="inlineStr">
        <is>
          <t>REN Liability Add</t>
        </is>
      </c>
      <c r="B10" s="15" t="inlineStr">
        <is>
          <t>BI + UM bundled</t>
        </is>
      </c>
      <c r="C10" s="15" t="inlineStr">
        <is>
          <t>+$3</t>
        </is>
      </c>
      <c r="D10" s="15" t="inlineStr">
        <is>
          <t>Same bundle logic, smaller dollar amount since the coverage already existed.</t>
        </is>
      </c>
      <c r="E10" s="15" t="inlineStr">
        <is>
          <t>REN with BI + UM</t>
        </is>
      </c>
      <c r="F10" s="15" t="inlineStr">
        <is>
          <t>$6 + $3 = $9</t>
        </is>
      </c>
      <c r="G10" s="15" t="inlineStr">
        <is>
          <t>Manager verifies</t>
        </is>
      </c>
    </row>
    <row r="11">
      <c r="A11" s="41" t="inlineStr">
        <is>
          <t>RWR</t>
        </is>
      </c>
      <c r="B11" s="41" t="inlineStr">
        <is>
          <t>Any rewrite</t>
        </is>
      </c>
      <c r="C11" s="41" t="inlineStr">
        <is>
          <t>$2 flat</t>
        </is>
      </c>
      <c r="D11" s="41" t="inlineStr">
        <is>
          <t>No coverage stacking. Rewrites are intentionally small.</t>
        </is>
      </c>
      <c r="E11" s="41" t="inlineStr">
        <is>
          <t>Any RWR</t>
        </is>
      </c>
      <c r="F11" s="41" t="inlineStr">
        <is>
          <t>$2</t>
        </is>
      </c>
      <c r="G11" s="41" t="inlineStr">
        <is>
          <t>No bundle on rewrites</t>
        </is>
      </c>
    </row>
    <row r="12">
      <c r="A12" s="15" t="inlineStr">
        <is>
          <t>PIF Add</t>
        </is>
      </c>
      <c r="B12" s="15" t="inlineStr">
        <is>
          <t>Policy paid in full</t>
        </is>
      </c>
      <c r="C12" s="15" t="inlineStr">
        <is>
          <t>+$8 NB / +$12 high NB / +$5 REN</t>
        </is>
      </c>
      <c r="D12" s="15" t="inlineStr">
        <is>
          <t>Cash upfront earns extra.</t>
        </is>
      </c>
      <c r="E12" s="15" t="inlineStr">
        <is>
          <t>$2,500 NB PIF + BI/UM</t>
        </is>
      </c>
      <c r="F12" s="15" t="inlineStr">
        <is>
          <t>$10 + $5 + $8 = $23</t>
        </is>
      </c>
      <c r="G12" s="15" t="inlineStr">
        <is>
          <t>Manager verifies</t>
        </is>
      </c>
    </row>
    <row r="13">
      <c r="A13" s="41" t="inlineStr">
        <is>
          <t>Collected Kicker</t>
        </is>
      </c>
      <c r="B13" s="41" t="inlineStr">
        <is>
          <t>Same as Proposal A</t>
        </is>
      </c>
      <c r="C13" s="41" t="inlineStr">
        <is>
          <t>+10% / +15% / +20% / +25%</t>
        </is>
      </c>
      <c r="D13" s="41" t="inlineStr">
        <is>
          <t>15-24% / 25-49% / 50-99% / 100%</t>
        </is>
      </c>
      <c r="E13" s="41" t="inlineStr">
        <is>
          <t>$15 target at 25% collected</t>
        </is>
      </c>
      <c r="F13" s="41" t="inlineStr">
        <is>
          <t>$15 x 1.15 = $17.25</t>
        </is>
      </c>
      <c r="G13" s="41" t="inlineStr">
        <is>
          <t>Identical kicker logic</t>
        </is>
      </c>
    </row>
    <row r="14">
      <c r="A14" s="15" t="inlineStr">
        <is>
          <t>Review Threshold (soft cap)</t>
        </is>
      </c>
      <c r="B14" s="15" t="inlineStr">
        <is>
          <t>Target &gt; 40% of safe net</t>
        </is>
      </c>
      <c r="C14" s="15" t="inlineStr">
        <is>
          <t>Flag for ownership review</t>
        </is>
      </c>
      <c r="D14" s="15" t="inlineStr">
        <is>
          <t>Same as Proposal A. Does NOT auto-reduce.</t>
        </is>
      </c>
      <c r="E14" s="15" t="inlineStr">
        <is>
          <t>Safe net $200, target $80 (40%)</t>
        </is>
      </c>
      <c r="F14" s="15" t="inlineStr">
        <is>
          <t>Pay $80, flag for review</t>
        </is>
      </c>
      <c r="G14" s="15" t="inlineStr">
        <is>
          <t>40% review / 55% PIF review</t>
        </is>
      </c>
    </row>
    <row r="15">
      <c r="A15" s="41" t="inlineStr">
        <is>
          <t>Chargeback (PRIMARY PROTECTION)</t>
        </is>
      </c>
      <c r="B15" s="41" t="inlineStr">
        <is>
          <t>90 days</t>
        </is>
      </c>
      <c r="C15" s="41" t="inlineStr">
        <is>
          <t>100% reversal</t>
        </is>
      </c>
      <c r="D15" s="41" t="inlineStr">
        <is>
          <t>Cancel or rewrite inside 90 days = full bonus reversed.</t>
        </is>
      </c>
      <c r="E15" s="41" t="inlineStr">
        <is>
          <t>$15 paid Jan, cancels Mar</t>
        </is>
      </c>
      <c r="F15" s="41" t="inlineStr">
        <is>
          <t>-$15 in next payroll</t>
        </is>
      </c>
      <c r="G15" s="41" t="inlineStr">
        <is>
          <t>Required</t>
        </is>
      </c>
    </row>
    <row r="17">
      <c r="A17" s="5" t="inlineStr">
        <is>
          <t>Why this plan</t>
        </is>
      </c>
    </row>
    <row r="18">
      <c r="A18" s="39" t="inlineStr">
        <is>
          <t>* Coverage = money. Agents who upsell BI/UM earn more without depending on premium size.</t>
        </is>
      </c>
    </row>
    <row r="19">
      <c r="A19" s="39" t="inlineStr">
        <is>
          <t>* BI+UM bundled per Florida coverage logic: UM cannot exist without BI, so paying them as one $5 add-on prevents gaming.</t>
        </is>
      </c>
    </row>
    <row r="20">
      <c r="A20" s="39" t="inlineStr">
        <is>
          <t>* Renewals receive a separate, smaller payout that creates retention incentive.</t>
        </is>
      </c>
    </row>
    <row r="21">
      <c r="A21" s="39" t="inlineStr">
        <is>
          <t>* Rewrites stay flat at $2 - same as Proposal A.</t>
        </is>
      </c>
    </row>
    <row r="22">
      <c r="A22" s="39" t="inlineStr">
        <is>
          <t>* Requires manager verification of coverages on the manual tracker. No verification = no add-on.</t>
        </is>
      </c>
    </row>
    <row r="23">
      <c r="A23" s="39" t="inlineStr">
        <is>
          <t>* Premium-quality is rewarded indirectly: bigger policies are typically the ones that buy BI+UM.</t>
        </is>
      </c>
    </row>
  </sheetData>
  <mergeCells count="9">
    <mergeCell ref="A1:G1"/>
    <mergeCell ref="A17:G17"/>
    <mergeCell ref="A18:G18"/>
    <mergeCell ref="A21:G21"/>
    <mergeCell ref="A22:G22"/>
    <mergeCell ref="A20:G20"/>
    <mergeCell ref="A2:G2"/>
    <mergeCell ref="A19:G19"/>
    <mergeCell ref="A23:G2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22" customWidth="1" min="1" max="1"/>
    <col width="30" customWidth="1" min="2" max="2"/>
    <col width="28" customWidth="1" min="3" max="3"/>
    <col width="40" customWidth="1" min="4" max="4"/>
    <col width="22" customWidth="1" min="5" max="5"/>
    <col width="18" customWidth="1" min="6" max="6"/>
    <col width="22" customWidth="1" min="7" max="7"/>
  </cols>
  <sheetData>
    <row r="1">
      <c r="A1" s="42" t="inlineStr">
        <is>
          <t>Proposal C: PERSISTENCY-FOCUSED Plan (Bonus Idea)</t>
        </is>
      </c>
    </row>
    <row r="2">
      <c r="A2" s="29" t="inlineStr">
        <is>
          <t>How it works: Flat per-policy pay. REN equals NB intentionally. RWR drops to $1 to actively discourage churning the book. Same kicker + cap.</t>
        </is>
      </c>
    </row>
    <row r="4">
      <c r="A4" s="6" t="inlineStr">
        <is>
          <t>Component</t>
        </is>
      </c>
      <c r="B4" s="6" t="inlineStr">
        <is>
          <t>Rule</t>
        </is>
      </c>
      <c r="C4" s="6" t="inlineStr">
        <is>
          <t>Per-Policy Pay</t>
        </is>
      </c>
      <c r="D4" s="6" t="inlineStr">
        <is>
          <t>Plain English</t>
        </is>
      </c>
      <c r="E4" s="6" t="inlineStr">
        <is>
          <t>Example</t>
        </is>
      </c>
      <c r="F4" s="6" t="inlineStr">
        <is>
          <t>Example Pay</t>
        </is>
      </c>
      <c r="G4" s="6" t="inlineStr">
        <is>
          <t>Notes</t>
        </is>
      </c>
    </row>
    <row r="5">
      <c r="A5" s="43" t="inlineStr">
        <is>
          <t>NB</t>
        </is>
      </c>
      <c r="B5" s="43" t="inlineStr">
        <is>
          <t>Any new business</t>
        </is>
      </c>
      <c r="C5" s="43" t="inlineStr">
        <is>
          <t>$8 flat</t>
        </is>
      </c>
      <c r="D5" s="43" t="inlineStr">
        <is>
          <t>No premium tier, no coverage detail. Simplest possible.</t>
        </is>
      </c>
      <c r="E5" s="43" t="inlineStr">
        <is>
          <t>Any NB</t>
        </is>
      </c>
      <c r="F5" s="43" t="inlineStr">
        <is>
          <t>$8</t>
        </is>
      </c>
      <c r="G5" s="43" t="inlineStr">
        <is>
          <t>Before kicker/cap</t>
        </is>
      </c>
    </row>
    <row r="6">
      <c r="A6" s="18" t="inlineStr">
        <is>
          <t>REN</t>
        </is>
      </c>
      <c r="B6" s="18" t="inlineStr">
        <is>
          <t>Any renewal</t>
        </is>
      </c>
      <c r="C6" s="18" t="inlineStr">
        <is>
          <t>$8 flat (PARITY with NB)</t>
        </is>
      </c>
      <c r="D6" s="18" t="inlineStr">
        <is>
          <t>Renewing pays exactly the same as writing new. Strong retention signal.</t>
        </is>
      </c>
      <c r="E6" s="18" t="inlineStr">
        <is>
          <t>Any REN</t>
        </is>
      </c>
      <c r="F6" s="18" t="inlineStr">
        <is>
          <t>$8</t>
        </is>
      </c>
      <c r="G6" s="18" t="inlineStr">
        <is>
          <t>Before kicker/cap</t>
        </is>
      </c>
    </row>
    <row r="7">
      <c r="A7" s="43" t="inlineStr">
        <is>
          <t>RWR</t>
        </is>
      </c>
      <c r="B7" s="43" t="inlineStr">
        <is>
          <t>Any rewrite</t>
        </is>
      </c>
      <c r="C7" s="43" t="inlineStr">
        <is>
          <t>$1 flat (LOWER than A and B)</t>
        </is>
      </c>
      <c r="D7" s="43" t="inlineStr">
        <is>
          <t>Active disincentive: rewriting costs the agent earnings.</t>
        </is>
      </c>
      <c r="E7" s="43" t="inlineStr">
        <is>
          <t>Any RWR</t>
        </is>
      </c>
      <c r="F7" s="43" t="inlineStr">
        <is>
          <t>$1</t>
        </is>
      </c>
      <c r="G7" s="43" t="inlineStr">
        <is>
          <t>Before kicker</t>
        </is>
      </c>
    </row>
    <row r="8">
      <c r="A8" s="18" t="inlineStr">
        <is>
          <t>Collected Kicker</t>
        </is>
      </c>
      <c r="B8" s="18" t="inlineStr">
        <is>
          <t>Same as Proposals A and B</t>
        </is>
      </c>
      <c r="C8" s="18" t="inlineStr">
        <is>
          <t>+10% / +15% / +20% / +25%</t>
        </is>
      </c>
      <c r="D8" s="18" t="inlineStr">
        <is>
          <t>Standard kicker.</t>
        </is>
      </c>
      <c r="E8" s="18" t="inlineStr">
        <is>
          <t>$8 target at 25%</t>
        </is>
      </c>
      <c r="F8" s="18" t="inlineStr">
        <is>
          <t>$8 x 1.15 = $9.20</t>
        </is>
      </c>
      <c r="G8" s="18" t="inlineStr">
        <is>
          <t>Same</t>
        </is>
      </c>
    </row>
    <row r="9">
      <c r="A9" s="43" t="inlineStr">
        <is>
          <t>Review Threshold (soft cap)</t>
        </is>
      </c>
      <c r="B9" s="43" t="inlineStr">
        <is>
          <t>Target &gt; 40% of safe net</t>
        </is>
      </c>
      <c r="C9" s="43" t="inlineStr">
        <is>
          <t>Flag for ownership review</t>
        </is>
      </c>
      <c r="D9" s="43" t="inlineStr">
        <is>
          <t>Same as A and B.</t>
        </is>
      </c>
      <c r="E9" s="43" t="inlineStr">
        <is>
          <t>-</t>
        </is>
      </c>
      <c r="F9" s="43" t="inlineStr">
        <is>
          <t>-</t>
        </is>
      </c>
      <c r="G9" s="43" t="inlineStr">
        <is>
          <t>40% review threshold</t>
        </is>
      </c>
    </row>
    <row r="10">
      <c r="A10" s="18" t="inlineStr">
        <is>
          <t>Chargeback (PRIMARY PROTECTION)</t>
        </is>
      </c>
      <c r="B10" s="18" t="inlineStr">
        <is>
          <t>90 days</t>
        </is>
      </c>
      <c r="C10" s="18" t="inlineStr">
        <is>
          <t>100% reversal</t>
        </is>
      </c>
      <c r="D10" s="18" t="inlineStr">
        <is>
          <t>Same</t>
        </is>
      </c>
      <c r="E10" s="18" t="inlineStr">
        <is>
          <t>-</t>
        </is>
      </c>
      <c r="F10" s="18" t="inlineStr">
        <is>
          <t>-</t>
        </is>
      </c>
      <c r="G10" s="18" t="inlineStr">
        <is>
          <t>Required</t>
        </is>
      </c>
    </row>
    <row r="12">
      <c r="A12" s="5" t="inlineStr">
        <is>
          <t>When to consider this plan</t>
        </is>
      </c>
    </row>
    <row r="13">
      <c r="A13" s="39" t="inlineStr">
        <is>
          <t>* Use when the priority is to BREAK the rewrite habit fastest, even at the cost of premium-quality signal.</t>
        </is>
      </c>
    </row>
    <row r="14">
      <c r="A14" s="39" t="inlineStr">
        <is>
          <t>* Simplest plan: no premium lookup, no coverage verification. Easiest to administer.</t>
        </is>
      </c>
    </row>
    <row r="15">
      <c r="A15" s="39" t="inlineStr">
        <is>
          <t>* REN = NB parity is unusual and will be a strong cultural message.</t>
        </is>
      </c>
    </row>
    <row r="16">
      <c r="A16" s="39" t="inlineStr">
        <is>
          <t>* Weakness: does NOT reward upselling premium or coverage. Best paired with a separate quarterly contest if the agency also wants premium growth.</t>
        </is>
      </c>
    </row>
    <row r="17">
      <c r="A17" s="39" t="inlineStr">
        <is>
          <t>* Recommended only if Proposal A or B is rejected as too complex.</t>
        </is>
      </c>
    </row>
  </sheetData>
  <mergeCells count="8">
    <mergeCell ref="A13:G13"/>
    <mergeCell ref="A14:G14"/>
    <mergeCell ref="A1:G1"/>
    <mergeCell ref="A17:G17"/>
    <mergeCell ref="A12:G12"/>
    <mergeCell ref="A2:G2"/>
    <mergeCell ref="A16:G16"/>
    <mergeCell ref="A15:G1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32" customWidth="1" min="1" max="1"/>
    <col width="7" customWidth="1" min="2" max="2"/>
    <col width="11" customWidth="1" min="3" max="3"/>
    <col width="18" customWidth="1" min="4" max="4"/>
    <col width="13" customWidth="1" min="5" max="5"/>
    <col width="22" customWidth="1" min="6" max="6"/>
    <col width="26" customWidth="1" min="7" max="7"/>
    <col width="30" customWidth="1" min="8" max="8"/>
    <col width="25" customWidth="1" min="9" max="9"/>
    <col width="50" customWidth="1" min="10" max="10"/>
  </cols>
  <sheetData>
    <row r="1">
      <c r="A1" s="1" t="inlineStr">
        <is>
          <t>Worked Examples (one policy at a time)</t>
        </is>
      </c>
    </row>
    <row r="2">
      <c r="A2" s="4" t="inlineStr">
        <is>
          <t>These hand-built examples show the per-policy target math for every plan. The review threshold (40% of safe net) is monthly, not per-policy. Pay = target.</t>
        </is>
      </c>
    </row>
    <row r="4">
      <c r="A4" s="6" t="inlineStr">
        <is>
          <t>Scenario</t>
        </is>
      </c>
      <c r="B4" s="6" t="inlineStr">
        <is>
          <t>Type</t>
        </is>
      </c>
      <c r="C4" s="6" t="inlineStr">
        <is>
          <t>Premium</t>
        </is>
      </c>
      <c r="D4" s="6" t="inlineStr">
        <is>
          <t>Coverages</t>
        </is>
      </c>
      <c r="E4" s="6" t="inlineStr">
        <is>
          <t>Collected %</t>
        </is>
      </c>
      <c r="F4" s="6" t="inlineStr">
        <is>
          <t>Current</t>
        </is>
      </c>
      <c r="G4" s="6" t="inlineStr">
        <is>
          <t>Proposal A (Premium)</t>
        </is>
      </c>
      <c r="H4" s="6" t="inlineStr">
        <is>
          <t>Proposal B (Coverage)</t>
        </is>
      </c>
      <c r="I4" s="6" t="inlineStr">
        <is>
          <t>Proposal C (Persistency)</t>
        </is>
      </c>
      <c r="J4" s="6" t="inlineStr">
        <is>
          <t>Plain-English Read</t>
        </is>
      </c>
    </row>
    <row r="5" ht="32" customHeight="1">
      <c r="A5" s="20" t="inlineStr">
        <is>
          <t>Basic FL NB - PIP/PD only</t>
        </is>
      </c>
      <c r="B5" s="20" t="inlineStr">
        <is>
          <t>NB</t>
        </is>
      </c>
      <c r="C5" s="20" t="n">
        <v>1000</v>
      </c>
      <c r="D5" s="20" t="inlineStr">
        <is>
          <t>PIP+PD</t>
        </is>
      </c>
      <c r="E5" s="20" t="inlineStr">
        <is>
          <t>25%</t>
        </is>
      </c>
      <c r="F5" s="9" t="inlineStr">
        <is>
          <t>Counts toward tier</t>
        </is>
      </c>
      <c r="G5" s="12" t="inlineStr">
        <is>
          <t>$5 x 1.15 = $5.75</t>
        </is>
      </c>
      <c r="H5" s="15" t="inlineStr">
        <is>
          <t>$10 x 1.15 = $11.50</t>
        </is>
      </c>
      <c r="I5" s="18" t="inlineStr">
        <is>
          <t>$8 x 1.15 = $9.20</t>
        </is>
      </c>
      <c r="J5" s="20" t="inlineStr">
        <is>
          <t>B pays the most because coverage = money, even at low premium.</t>
        </is>
      </c>
    </row>
    <row r="6" ht="32" customHeight="1">
      <c r="A6" s="20" t="inlineStr">
        <is>
          <t>Full Coverage NB - no liability</t>
        </is>
      </c>
      <c r="B6" s="20" t="inlineStr">
        <is>
          <t>NB</t>
        </is>
      </c>
      <c r="C6" s="20" t="n">
        <v>1500</v>
      </c>
      <c r="D6" s="20" t="inlineStr">
        <is>
          <t>PIP+PD+Comp+Coll</t>
        </is>
      </c>
      <c r="E6" s="20" t="inlineStr">
        <is>
          <t>25%</t>
        </is>
      </c>
      <c r="F6" s="9" t="inlineStr">
        <is>
          <t>Counts toward tier</t>
        </is>
      </c>
      <c r="G6" s="12" t="inlineStr">
        <is>
          <t>$7 x 1.15 = $8.05</t>
        </is>
      </c>
      <c r="H6" s="15" t="inlineStr">
        <is>
          <t>$10 x 1.15 = $11.50</t>
        </is>
      </c>
      <c r="I6" s="18" t="inlineStr">
        <is>
          <t>$8 x 1.15 = $9.20</t>
        </is>
      </c>
      <c r="J6" s="20" t="inlineStr">
        <is>
          <t>A pays more because premium is higher. B pays base only (no BI+UM).</t>
        </is>
      </c>
    </row>
    <row r="7" ht="32" customHeight="1">
      <c r="A7" s="20" t="inlineStr">
        <is>
          <t>Full Coverage + Liability NB</t>
        </is>
      </c>
      <c r="B7" s="20" t="inlineStr">
        <is>
          <t>NB</t>
        </is>
      </c>
      <c r="C7" s="20" t="n">
        <v>2000</v>
      </c>
      <c r="D7" s="20" t="inlineStr">
        <is>
          <t>PIP+PD+CC+BI+UM</t>
        </is>
      </c>
      <c r="E7" s="20" t="inlineStr">
        <is>
          <t>25%</t>
        </is>
      </c>
      <c r="F7" s="9" t="inlineStr">
        <is>
          <t>Counts toward tier</t>
        </is>
      </c>
      <c r="G7" s="12" t="inlineStr">
        <is>
          <t>$9 x 1.15 = $10.35</t>
        </is>
      </c>
      <c r="H7" s="15" t="inlineStr">
        <is>
          <t>$10 + $5 = $15 x 1.15 = $17.25</t>
        </is>
      </c>
      <c r="I7" s="18" t="inlineStr">
        <is>
          <t>$8 x 1.15 = $9.20</t>
        </is>
      </c>
      <c r="J7" s="20" t="inlineStr">
        <is>
          <t>B clearly wins because liability bundle adds $5.</t>
        </is>
      </c>
    </row>
    <row r="8" ht="32" customHeight="1">
      <c r="A8" s="20" t="inlineStr">
        <is>
          <t>NB with BI ALONE (no UM)</t>
        </is>
      </c>
      <c r="B8" s="20" t="inlineStr">
        <is>
          <t>NB</t>
        </is>
      </c>
      <c r="C8" s="20" t="n">
        <v>2000</v>
      </c>
      <c r="D8" s="20" t="inlineStr">
        <is>
          <t>PIP+PD+BI no UM</t>
        </is>
      </c>
      <c r="E8" s="20" t="inlineStr">
        <is>
          <t>25%</t>
        </is>
      </c>
      <c r="F8" s="9" t="inlineStr">
        <is>
          <t>Counts toward tier</t>
        </is>
      </c>
      <c r="G8" s="12" t="inlineStr">
        <is>
          <t>$9 x 1.15 = $10.35</t>
        </is>
      </c>
      <c r="H8" s="15" t="inlineStr">
        <is>
          <t>$10 x 1.15 = $11.50 (base only)</t>
        </is>
      </c>
      <c r="I8" s="18" t="inlineStr">
        <is>
          <t>$8 x 1.15 = $9.20</t>
        </is>
      </c>
      <c r="J8" s="20" t="inlineStr">
        <is>
          <t>B does NOT pay the bundle because BI alone does not qualify.</t>
        </is>
      </c>
    </row>
    <row r="9" ht="32" customHeight="1">
      <c r="A9" s="20" t="inlineStr">
        <is>
          <t>High-premium PIF NB</t>
        </is>
      </c>
      <c r="B9" s="20" t="inlineStr">
        <is>
          <t>NB</t>
        </is>
      </c>
      <c r="C9" s="20" t="n">
        <v>4500</v>
      </c>
      <c r="D9" s="20" t="inlineStr">
        <is>
          <t>PIP+PD+CC+BI+UM</t>
        </is>
      </c>
      <c r="E9" s="20" t="inlineStr">
        <is>
          <t>100% (PIF)</t>
        </is>
      </c>
      <c r="F9" s="9" t="inlineStr">
        <is>
          <t>Counts toward tier</t>
        </is>
      </c>
      <c r="G9" s="12" t="inlineStr">
        <is>
          <t>($11+$3 over-$3k+$12 PIF) x 1.25 = $32.50</t>
        </is>
      </c>
      <c r="H9" s="15" t="inlineStr">
        <is>
          <t>($10+$5+$12) x 1.25 = $33.75</t>
        </is>
      </c>
      <c r="I9" s="18" t="inlineStr">
        <is>
          <t>$8 x 1.25 = $10.00</t>
        </is>
      </c>
      <c r="J9" s="20" t="inlineStr">
        <is>
          <t>PIF adds the biggest dollars on A and B; C stays simple.</t>
        </is>
      </c>
    </row>
    <row r="10" ht="32" customHeight="1">
      <c r="A10" s="20" t="inlineStr">
        <is>
          <t>Standard Renewal</t>
        </is>
      </c>
      <c r="B10" s="20" t="inlineStr">
        <is>
          <t>REN</t>
        </is>
      </c>
      <c r="C10" s="20" t="n">
        <v>1500</v>
      </c>
      <c r="D10" s="20" t="inlineStr">
        <is>
          <t>PIP+PD+CC</t>
        </is>
      </c>
      <c r="E10" s="20" t="inlineStr">
        <is>
          <t>25%</t>
        </is>
      </c>
      <c r="F10" s="9" t="inlineStr">
        <is>
          <t>Pays $0 today</t>
        </is>
      </c>
      <c r="G10" s="12" t="inlineStr">
        <is>
          <t>$5 x 1.15 = $5.75</t>
        </is>
      </c>
      <c r="H10" s="15" t="inlineStr">
        <is>
          <t>$6 x 1.15 = $6.90</t>
        </is>
      </c>
      <c r="I10" s="18" t="inlineStr">
        <is>
          <t>$8 x 1.15 = $9.20</t>
        </is>
      </c>
      <c r="J10" s="20" t="inlineStr">
        <is>
          <t>C pays the most because REN = NB parity is the whole point of C.</t>
        </is>
      </c>
    </row>
    <row r="11" ht="32" customHeight="1">
      <c r="A11" s="20" t="inlineStr">
        <is>
          <t>Renewal + Liability + PIF</t>
        </is>
      </c>
      <c r="B11" s="20" t="inlineStr">
        <is>
          <t>REN</t>
        </is>
      </c>
      <c r="C11" s="20" t="n">
        <v>2000</v>
      </c>
      <c r="D11" s="20" t="inlineStr">
        <is>
          <t>Full + BI+UM PIF</t>
        </is>
      </c>
      <c r="E11" s="20" t="inlineStr">
        <is>
          <t>100% (PIF)</t>
        </is>
      </c>
      <c r="F11" s="9" t="inlineStr">
        <is>
          <t>Pays $0 today</t>
        </is>
      </c>
      <c r="G11" s="12" t="inlineStr">
        <is>
          <t>($6+$5 PIF) x 1.25 = $13.75</t>
        </is>
      </c>
      <c r="H11" s="15" t="inlineStr">
        <is>
          <t>($6+$3+$5) x 1.25 = $17.50</t>
        </is>
      </c>
      <c r="I11" s="18" t="inlineStr">
        <is>
          <t>$8 x 1.25 = $10.00</t>
        </is>
      </c>
      <c r="J11" s="20" t="inlineStr">
        <is>
          <t>B and A both reward renewal PIF; C does not differentiate.</t>
        </is>
      </c>
    </row>
    <row r="12" ht="32" customHeight="1">
      <c r="A12" s="20" t="inlineStr">
        <is>
          <t>Rewrite (any premium)</t>
        </is>
      </c>
      <c r="B12" s="20" t="inlineStr">
        <is>
          <t>RWR</t>
        </is>
      </c>
      <c r="C12" s="20" t="n">
        <v>1200</v>
      </c>
      <c r="D12" s="20" t="inlineStr">
        <is>
          <t>Any</t>
        </is>
      </c>
      <c r="E12" s="20" t="inlineStr">
        <is>
          <t>25%</t>
        </is>
      </c>
      <c r="F12" s="9" t="inlineStr">
        <is>
          <t>Counts toward tier (BAD)</t>
        </is>
      </c>
      <c r="G12" s="12" t="inlineStr">
        <is>
          <t>$2 x 1.15 = $2.30</t>
        </is>
      </c>
      <c r="H12" s="15" t="inlineStr">
        <is>
          <t>$2 x 1.15 = $2.30</t>
        </is>
      </c>
      <c r="I12" s="18" t="inlineStr">
        <is>
          <t>$1 x 1.15 = $1.15</t>
        </is>
      </c>
      <c r="J12" s="20" t="inlineStr">
        <is>
          <t>All three new plans deprioritize RWR. C goes further with $1.</t>
        </is>
      </c>
    </row>
  </sheetData>
  <mergeCells count="2">
    <mergeCell ref="A1:J1"/>
    <mergeCell ref="A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93"/>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REAL Jan-Apr 2026 data</t>
        </is>
      </c>
    </row>
    <row r="2">
      <c r="A2" s="4" t="inlineStr">
        <is>
          <t>Actual NB/RWR/REN volumes from the source data, calculated for every proposal.</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20" t="inlineStr">
        <is>
          <t>January</t>
        </is>
      </c>
      <c r="B6" s="21" t="n">
        <v>25</v>
      </c>
      <c r="C6" s="22" t="n">
        <v>38611.42</v>
      </c>
      <c r="D6" s="22" t="n">
        <v>4938.26</v>
      </c>
      <c r="E6" s="44" t="n">
        <v>0.1278963581240991</v>
      </c>
      <c r="F6" s="21" t="n">
        <v>17</v>
      </c>
      <c r="G6" s="22" t="n">
        <v>27518.5</v>
      </c>
      <c r="H6" s="22" t="n">
        <v>6186.16</v>
      </c>
      <c r="I6" s="44" t="n">
        <v>0.224800043607028</v>
      </c>
      <c r="J6" s="21" t="n">
        <v>9</v>
      </c>
      <c r="K6" s="22" t="n">
        <v>7605</v>
      </c>
      <c r="L6" s="22" t="n">
        <v>1734.23</v>
      </c>
      <c r="M6" s="44" t="n">
        <v>0.2280381328073636</v>
      </c>
      <c r="N6" s="22" t="n">
        <v>1544.4568</v>
      </c>
      <c r="O6" s="22" t="n">
        <v>845</v>
      </c>
      <c r="P6" s="22" t="n">
        <v>12858.65</v>
      </c>
      <c r="Q6" s="22" t="n">
        <v>700.1534924999999</v>
      </c>
      <c r="R6" s="22" t="n">
        <v>280.0613969999999</v>
      </c>
    </row>
    <row r="7">
      <c r="A7" s="20" t="inlineStr">
        <is>
          <t>February</t>
        </is>
      </c>
      <c r="B7" s="21" t="n">
        <v>13</v>
      </c>
      <c r="C7" s="22" t="n">
        <v>25367</v>
      </c>
      <c r="D7" s="22" t="n">
        <v>3258.77</v>
      </c>
      <c r="E7" s="44" t="n">
        <v>0.1284649347577561</v>
      </c>
      <c r="F7" s="21" t="n">
        <v>19</v>
      </c>
      <c r="G7" s="22" t="n">
        <v>30643</v>
      </c>
      <c r="H7" s="22" t="n">
        <v>4268.29</v>
      </c>
      <c r="I7" s="44" t="n">
        <v>0.1392908657768495</v>
      </c>
      <c r="J7" s="21" t="n">
        <v>7</v>
      </c>
      <c r="K7" s="22" t="n">
        <v>7517</v>
      </c>
      <c r="L7" s="22" t="n">
        <v>1422.16</v>
      </c>
      <c r="M7" s="44" t="n">
        <v>0.1891924970067846</v>
      </c>
      <c r="N7" s="22" t="n">
        <v>1951.307692307692</v>
      </c>
      <c r="O7" s="22" t="n">
        <v>1073.857142857143</v>
      </c>
      <c r="P7" s="22" t="n">
        <v>8949.219999999999</v>
      </c>
      <c r="Q7" s="22" t="n">
        <v>487.2850289999999</v>
      </c>
      <c r="R7" s="22" t="n">
        <v>194.9140116</v>
      </c>
    </row>
    <row r="8">
      <c r="A8" s="20" t="inlineStr">
        <is>
          <t>March</t>
        </is>
      </c>
      <c r="B8" s="21" t="n">
        <v>30</v>
      </c>
      <c r="C8" s="22" t="n">
        <v>46523.37</v>
      </c>
      <c r="D8" s="22" t="n">
        <v>6523.33</v>
      </c>
      <c r="E8" s="44" t="n">
        <v>0.140216196720057</v>
      </c>
      <c r="F8" s="21" t="n">
        <v>17</v>
      </c>
      <c r="G8" s="22" t="n">
        <v>25227.6</v>
      </c>
      <c r="H8" s="22" t="n">
        <v>5844.85</v>
      </c>
      <c r="I8" s="44" t="n">
        <v>0.2316847421078502</v>
      </c>
      <c r="J8" s="21" t="n">
        <v>5</v>
      </c>
      <c r="K8" s="22" t="n">
        <v>3901</v>
      </c>
      <c r="L8" s="22" t="n">
        <v>1274.08</v>
      </c>
      <c r="M8" s="44" t="n">
        <v>0.3266034350166624</v>
      </c>
      <c r="N8" s="22" t="n">
        <v>1550.779</v>
      </c>
      <c r="O8" s="22" t="n">
        <v>780.2</v>
      </c>
      <c r="P8" s="22" t="n">
        <v>13642.26</v>
      </c>
      <c r="Q8" s="22" t="n">
        <v>742.821057</v>
      </c>
      <c r="R8" s="22" t="n">
        <v>297.1284228</v>
      </c>
    </row>
    <row r="9">
      <c r="A9" s="20" t="inlineStr">
        <is>
          <t>April</t>
        </is>
      </c>
      <c r="B9" s="21" t="n">
        <v>27</v>
      </c>
      <c r="C9" s="22" t="n">
        <v>37825.93</v>
      </c>
      <c r="D9" s="22" t="n">
        <v>8163.72</v>
      </c>
      <c r="E9" s="44" t="n">
        <v>0.2158233783016042</v>
      </c>
      <c r="F9" s="21" t="n">
        <v>15</v>
      </c>
      <c r="G9" s="22" t="n">
        <v>15361.95</v>
      </c>
      <c r="H9" s="22" t="n">
        <v>3967.81</v>
      </c>
      <c r="I9" s="44" t="n">
        <v>0.2582881730509473</v>
      </c>
      <c r="J9" s="21" t="n">
        <v>13</v>
      </c>
      <c r="K9" s="22" t="n">
        <v>10935.99</v>
      </c>
      <c r="L9" s="22" t="n">
        <v>5439.19</v>
      </c>
      <c r="M9" s="44" t="n">
        <v>0.4973660363625058</v>
      </c>
      <c r="N9" s="22" t="n">
        <v>1400.96037037037</v>
      </c>
      <c r="O9" s="22" t="n">
        <v>841.23</v>
      </c>
      <c r="P9" s="22" t="n">
        <v>17570.72</v>
      </c>
      <c r="Q9" s="22" t="n">
        <v>956.725704</v>
      </c>
      <c r="R9" s="22" t="n">
        <v>382.6902816</v>
      </c>
    </row>
    <row r="11">
      <c r="A11" s="45" t="inlineStr">
        <is>
          <t>PROPOSAL A - PREMIUM-BASED</t>
        </is>
      </c>
    </row>
    <row r="12">
      <c r="A12" s="6" t="inlineStr">
        <is>
          <t>Month</t>
        </is>
      </c>
      <c r="B12" s="6" t="inlineStr">
        <is>
          <t>NB Tier</t>
        </is>
      </c>
      <c r="C12" s="6" t="inlineStr">
        <is>
          <t>NB Per-Policy $</t>
        </is>
      </c>
      <c r="D12" s="6" t="inlineStr">
        <is>
          <t>NB Target (w/ kicker)</t>
        </is>
      </c>
      <c r="E12" s="6" t="inlineStr">
        <is>
          <t>REN Tier</t>
        </is>
      </c>
      <c r="F12" s="6" t="inlineStr">
        <is>
          <t>REN Per-Policy $</t>
        </is>
      </c>
      <c r="G12" s="6" t="inlineStr">
        <is>
          <t>REN Target (w/ kicker)</t>
        </is>
      </c>
      <c r="H12" s="6" t="inlineStr">
        <is>
          <t>RWR Target (w/ kicker)</t>
        </is>
      </c>
      <c r="I12" s="6" t="inlineStr">
        <is>
          <t>Total Target (no min)</t>
        </is>
      </c>
      <c r="J12" s="6" t="inlineStr">
        <is>
          <t>PAID after MIN</t>
        </is>
      </c>
      <c r="K12" s="6" t="inlineStr">
        <is>
          <t>Gates (NB/REN/RWR)</t>
        </is>
      </c>
      <c r="L12" s="6" t="inlineStr">
        <is>
          <t>Safe Net</t>
        </is>
      </c>
      <c r="M12" s="6" t="inlineStr">
        <is>
          <t>Bonus % SN</t>
        </is>
      </c>
      <c r="N12" s="6" t="inlineStr">
        <is>
          <t>vs Current</t>
        </is>
      </c>
      <c r="O12" s="6" t="inlineStr">
        <is>
          <t>Current Bonus</t>
        </is>
      </c>
    </row>
    <row r="13">
      <c r="A13" s="12" t="inlineStr">
        <is>
          <t>January</t>
        </is>
      </c>
      <c r="B13" s="12" t="inlineStr">
        <is>
          <t>$1,200-$1,799</t>
        </is>
      </c>
      <c r="C13" s="11" t="n">
        <v>7</v>
      </c>
      <c r="D13" s="11" t="n">
        <v>175</v>
      </c>
      <c r="E13" s="12" t="inlineStr">
        <is>
          <t>Under $1,200</t>
        </is>
      </c>
      <c r="F13" s="11" t="n">
        <v>4</v>
      </c>
      <c r="G13" s="11" t="n">
        <v>39.6</v>
      </c>
      <c r="H13" s="11" t="n">
        <v>37.40000000000001</v>
      </c>
      <c r="I13" s="11" t="n">
        <v>252</v>
      </c>
      <c r="J13" s="23" t="n">
        <v>0</v>
      </c>
      <c r="K13" s="33" t="inlineStr">
        <is>
          <t>n/n/n</t>
        </is>
      </c>
      <c r="L13" s="11" t="n">
        <v>700.1534924999999</v>
      </c>
      <c r="M13" s="46" t="n">
        <v>0.3599210783055546</v>
      </c>
      <c r="N13" s="11" t="n">
        <v>-350</v>
      </c>
      <c r="O13" s="11" t="n">
        <v>350</v>
      </c>
    </row>
    <row r="14">
      <c r="A14" s="12" t="inlineStr">
        <is>
          <t>February</t>
        </is>
      </c>
      <c r="B14" s="12" t="inlineStr">
        <is>
          <t>$1,800-$2,199</t>
        </is>
      </c>
      <c r="C14" s="11" t="n">
        <v>9</v>
      </c>
      <c r="D14" s="11" t="n">
        <v>117</v>
      </c>
      <c r="E14" s="12" t="inlineStr">
        <is>
          <t>Under $1,200</t>
        </is>
      </c>
      <c r="F14" s="11" t="n">
        <v>4</v>
      </c>
      <c r="G14" s="11" t="n">
        <v>30.8</v>
      </c>
      <c r="H14" s="11" t="n">
        <v>38</v>
      </c>
      <c r="I14" s="11" t="n">
        <v>185.8</v>
      </c>
      <c r="J14" s="23" t="n">
        <v>0</v>
      </c>
      <c r="K14" s="33" t="inlineStr">
        <is>
          <t>n/n/n</t>
        </is>
      </c>
      <c r="L14" s="11" t="n">
        <v>487.2850289999999</v>
      </c>
      <c r="M14" s="46" t="n">
        <v>0.381296343910455</v>
      </c>
      <c r="N14" s="11" t="n">
        <v>-250</v>
      </c>
      <c r="O14" s="11" t="n">
        <v>250</v>
      </c>
    </row>
    <row r="15">
      <c r="A15" s="12" t="inlineStr">
        <is>
          <t>March</t>
        </is>
      </c>
      <c r="B15" s="12" t="inlineStr">
        <is>
          <t>$1,200-$1,799</t>
        </is>
      </c>
      <c r="C15" s="11" t="n">
        <v>7</v>
      </c>
      <c r="D15" s="11" t="n">
        <v>210</v>
      </c>
      <c r="E15" s="12" t="inlineStr">
        <is>
          <t>Under $1,200</t>
        </is>
      </c>
      <c r="F15" s="11" t="n">
        <v>4</v>
      </c>
      <c r="G15" s="11" t="n">
        <v>23</v>
      </c>
      <c r="H15" s="11" t="n">
        <v>37.40000000000001</v>
      </c>
      <c r="I15" s="11" t="n">
        <v>270.4</v>
      </c>
      <c r="J15" s="23" t="n">
        <v>0</v>
      </c>
      <c r="K15" s="33" t="inlineStr">
        <is>
          <t>n/n/n</t>
        </is>
      </c>
      <c r="L15" s="11" t="n">
        <v>742.821057</v>
      </c>
      <c r="M15" s="46" t="n">
        <v>0.3640176829289857</v>
      </c>
      <c r="N15" s="11" t="n">
        <v>-350</v>
      </c>
      <c r="O15" s="11" t="n">
        <v>350</v>
      </c>
    </row>
    <row r="16">
      <c r="A16" s="12" t="inlineStr">
        <is>
          <t>April</t>
        </is>
      </c>
      <c r="B16" s="12" t="inlineStr">
        <is>
          <t>$1,200-$1,799</t>
        </is>
      </c>
      <c r="C16" s="11" t="n">
        <v>7</v>
      </c>
      <c r="D16" s="11" t="n">
        <v>207.9</v>
      </c>
      <c r="E16" s="12" t="inlineStr">
        <is>
          <t>Under $1,200</t>
        </is>
      </c>
      <c r="F16" s="11" t="n">
        <v>4</v>
      </c>
      <c r="G16" s="11" t="n">
        <v>59.8</v>
      </c>
      <c r="H16" s="11" t="n">
        <v>34.5</v>
      </c>
      <c r="I16" s="11" t="n">
        <v>302.2</v>
      </c>
      <c r="J16" s="23" t="n">
        <v>0</v>
      </c>
      <c r="K16" s="33" t="inlineStr">
        <is>
          <t>n/n/n</t>
        </is>
      </c>
      <c r="L16" s="11" t="n">
        <v>956.725704</v>
      </c>
      <c r="M16" s="46" t="n">
        <v>0.3158690089923621</v>
      </c>
      <c r="N16" s="11" t="n">
        <v>-350</v>
      </c>
      <c r="O16" s="11" t="n">
        <v>350</v>
      </c>
    </row>
    <row r="17">
      <c r="A17" s="26" t="inlineStr">
        <is>
          <t>4-Month Total</t>
        </is>
      </c>
      <c r="B17" s="35" t="n"/>
      <c r="C17" s="35" t="n"/>
      <c r="D17" s="35" t="n"/>
      <c r="E17" s="35" t="n"/>
      <c r="F17" s="35" t="n"/>
      <c r="G17" s="35" t="n"/>
      <c r="H17" s="35" t="n"/>
      <c r="I17" s="27" t="n">
        <v>1010.4</v>
      </c>
      <c r="J17" s="27" t="n">
        <v>0</v>
      </c>
      <c r="K17" s="35" t="n"/>
      <c r="L17" s="35" t="n"/>
      <c r="M17" s="35" t="n"/>
      <c r="N17" s="27" t="n">
        <v>-1300</v>
      </c>
      <c r="O17" s="27" t="n">
        <v>1300</v>
      </c>
    </row>
    <row r="19">
      <c r="A19" s="47"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15" t="inlineStr">
        <is>
          <t>January</t>
        </is>
      </c>
      <c r="B21" s="14" t="n">
        <v>250</v>
      </c>
      <c r="C21" s="14" t="n">
        <v>43.75</v>
      </c>
      <c r="D21" s="14" t="n">
        <v>293.75</v>
      </c>
      <c r="E21" s="14" t="n">
        <v>54</v>
      </c>
      <c r="F21" s="14" t="n">
        <v>8.1</v>
      </c>
      <c r="G21" s="14" t="n">
        <v>68.31</v>
      </c>
      <c r="H21" s="14" t="n">
        <v>37.40000000000001</v>
      </c>
      <c r="I21" s="14" t="n">
        <v>399.46</v>
      </c>
      <c r="J21" s="24" t="n">
        <v>0</v>
      </c>
      <c r="K21" s="33" t="inlineStr">
        <is>
          <t>n/n/n</t>
        </is>
      </c>
      <c r="L21" s="14" t="n">
        <v>700.1534924999999</v>
      </c>
      <c r="M21" s="48" t="n">
        <v>0.570532039444194</v>
      </c>
      <c r="N21" s="14" t="n">
        <v>-350</v>
      </c>
      <c r="O21" s="14" t="n">
        <v>350</v>
      </c>
    </row>
    <row r="22">
      <c r="A22" s="15" t="inlineStr">
        <is>
          <t>February</t>
        </is>
      </c>
      <c r="B22" s="14" t="n">
        <v>130</v>
      </c>
      <c r="C22" s="14" t="n">
        <v>22.75</v>
      </c>
      <c r="D22" s="14" t="n">
        <v>152.75</v>
      </c>
      <c r="E22" s="14" t="n">
        <v>42</v>
      </c>
      <c r="F22" s="14" t="n">
        <v>6.300000000000001</v>
      </c>
      <c r="G22" s="14" t="n">
        <v>53.13</v>
      </c>
      <c r="H22" s="14" t="n">
        <v>38</v>
      </c>
      <c r="I22" s="14" t="n">
        <v>243.88</v>
      </c>
      <c r="J22" s="24" t="n">
        <v>0</v>
      </c>
      <c r="K22" s="33" t="inlineStr">
        <is>
          <t>n/n/n</t>
        </is>
      </c>
      <c r="L22" s="14" t="n">
        <v>487.2850289999999</v>
      </c>
      <c r="M22" s="48" t="n">
        <v>0.5004873646549073</v>
      </c>
      <c r="N22" s="14" t="n">
        <v>-250</v>
      </c>
      <c r="O22" s="14" t="n">
        <v>250</v>
      </c>
    </row>
    <row r="23">
      <c r="A23" s="15" t="inlineStr">
        <is>
          <t>March</t>
        </is>
      </c>
      <c r="B23" s="14" t="n">
        <v>300</v>
      </c>
      <c r="C23" s="14" t="n">
        <v>52.5</v>
      </c>
      <c r="D23" s="14" t="n">
        <v>352.5</v>
      </c>
      <c r="E23" s="14" t="n">
        <v>30</v>
      </c>
      <c r="F23" s="14" t="n">
        <v>4.5</v>
      </c>
      <c r="G23" s="14" t="n">
        <v>39.675</v>
      </c>
      <c r="H23" s="14" t="n">
        <v>37.40000000000001</v>
      </c>
      <c r="I23" s="14" t="n">
        <v>429.575</v>
      </c>
      <c r="J23" s="24" t="n">
        <v>0</v>
      </c>
      <c r="K23" s="33" t="inlineStr">
        <is>
          <t>n/n/n</t>
        </is>
      </c>
      <c r="L23" s="14" t="n">
        <v>742.821057</v>
      </c>
      <c r="M23" s="48" t="n">
        <v>0.5783021307108692</v>
      </c>
      <c r="N23" s="14" t="n">
        <v>-350</v>
      </c>
      <c r="O23" s="14" t="n">
        <v>350</v>
      </c>
    </row>
    <row r="24">
      <c r="A24" s="15" t="inlineStr">
        <is>
          <t>April</t>
        </is>
      </c>
      <c r="B24" s="14" t="n">
        <v>270</v>
      </c>
      <c r="C24" s="14" t="n">
        <v>47.25</v>
      </c>
      <c r="D24" s="14" t="n">
        <v>348.975</v>
      </c>
      <c r="E24" s="14" t="n">
        <v>78</v>
      </c>
      <c r="F24" s="14" t="n">
        <v>11.7</v>
      </c>
      <c r="G24" s="14" t="n">
        <v>103.155</v>
      </c>
      <c r="H24" s="14" t="n">
        <v>34.5</v>
      </c>
      <c r="I24" s="14" t="n">
        <v>486.63</v>
      </c>
      <c r="J24" s="24" t="n">
        <v>0</v>
      </c>
      <c r="K24" s="33" t="inlineStr">
        <is>
          <t>n/n/n</t>
        </is>
      </c>
      <c r="L24" s="14" t="n">
        <v>956.725704</v>
      </c>
      <c r="M24" s="48" t="n">
        <v>0.5086410848641734</v>
      </c>
      <c r="N24" s="14" t="n">
        <v>-350</v>
      </c>
      <c r="O24" s="14" t="n">
        <v>350</v>
      </c>
    </row>
    <row r="25">
      <c r="A25" s="26" t="inlineStr">
        <is>
          <t>4-Month Total</t>
        </is>
      </c>
      <c r="B25" s="35" t="n"/>
      <c r="C25" s="35" t="n"/>
      <c r="D25" s="35" t="n"/>
      <c r="E25" s="35" t="n"/>
      <c r="F25" s="35" t="n"/>
      <c r="G25" s="35" t="n"/>
      <c r="H25" s="35" t="n"/>
      <c r="I25" s="27" t="n">
        <v>1559.545</v>
      </c>
      <c r="J25" s="27" t="n">
        <v>0</v>
      </c>
      <c r="K25" s="35" t="n"/>
      <c r="L25" s="35" t="n"/>
      <c r="M25" s="35" t="n"/>
      <c r="N25" s="27" t="n">
        <v>-1300</v>
      </c>
      <c r="O25" s="27" t="n">
        <v>1300</v>
      </c>
    </row>
    <row r="27">
      <c r="A27" s="49" t="inlineStr">
        <is>
          <t>PROPOSAL C - PERSISTENCY (BONUS IDEA)</t>
        </is>
      </c>
    </row>
    <row r="28">
      <c r="A28" s="6" t="inlineStr">
        <is>
          <t>Month</t>
        </is>
      </c>
      <c r="B28" s="6" t="inlineStr">
        <is>
          <t>NB ($8 x ct)</t>
        </is>
      </c>
      <c r="C28" s="6" t="inlineStr">
        <is>
          <t>REN ($8 x ct)</t>
        </is>
      </c>
      <c r="D28" s="6" t="inlineStr">
        <is>
          <t>RWR ($1 x ct)</t>
        </is>
      </c>
      <c r="E28" s="6" t="inlineStr">
        <is>
          <t>NB Target</t>
        </is>
      </c>
      <c r="F28" s="6" t="inlineStr">
        <is>
          <t>REN Target</t>
        </is>
      </c>
      <c r="G28" s="6" t="inlineStr">
        <is>
          <t>RWR Target</t>
        </is>
      </c>
      <c r="H28" s="6" t="inlineStr">
        <is>
          <t>Total Target (no min)</t>
        </is>
      </c>
      <c r="I28" s="6" t="inlineStr">
        <is>
          <t>PAID after MIN</t>
        </is>
      </c>
      <c r="J28" s="6" t="inlineStr">
        <is>
          <t>Gates (NB/REN/RWR)</t>
        </is>
      </c>
      <c r="K28" s="6" t="inlineStr">
        <is>
          <t>Safe Net</t>
        </is>
      </c>
      <c r="L28" s="6" t="inlineStr">
        <is>
          <t>Bonus % SN</t>
        </is>
      </c>
      <c r="M28" s="6" t="inlineStr">
        <is>
          <t>vs Current</t>
        </is>
      </c>
      <c r="N28" s="6" t="inlineStr">
        <is>
          <t>Current Bonus</t>
        </is>
      </c>
    </row>
    <row r="29">
      <c r="A29" s="18" t="inlineStr">
        <is>
          <t>January</t>
        </is>
      </c>
      <c r="B29" s="17" t="n">
        <v>200</v>
      </c>
      <c r="C29" s="17" t="n">
        <v>72</v>
      </c>
      <c r="D29" s="17" t="n">
        <v>17</v>
      </c>
      <c r="E29" s="17" t="n">
        <v>200</v>
      </c>
      <c r="F29" s="17" t="n">
        <v>79.2</v>
      </c>
      <c r="G29" s="17" t="n">
        <v>18.7</v>
      </c>
      <c r="H29" s="17" t="n">
        <v>297.9</v>
      </c>
      <c r="I29" s="25" t="n">
        <v>0</v>
      </c>
      <c r="J29" s="33" t="inlineStr">
        <is>
          <t>n/n/n</t>
        </is>
      </c>
      <c r="K29" s="17" t="n">
        <v>700.1534924999999</v>
      </c>
      <c r="L29" s="50" t="n">
        <v>0.4254781318540663</v>
      </c>
      <c r="M29" s="17" t="n">
        <v>-350</v>
      </c>
      <c r="N29" s="17" t="n">
        <v>350</v>
      </c>
    </row>
    <row r="30">
      <c r="A30" s="18" t="inlineStr">
        <is>
          <t>February</t>
        </is>
      </c>
      <c r="B30" s="17" t="n">
        <v>104</v>
      </c>
      <c r="C30" s="17" t="n">
        <v>56</v>
      </c>
      <c r="D30" s="17" t="n">
        <v>19</v>
      </c>
      <c r="E30" s="17" t="n">
        <v>104</v>
      </c>
      <c r="F30" s="17" t="n">
        <v>61.60000000000001</v>
      </c>
      <c r="G30" s="17" t="n">
        <v>19</v>
      </c>
      <c r="H30" s="17" t="n">
        <v>184.6</v>
      </c>
      <c r="I30" s="25" t="n">
        <v>0</v>
      </c>
      <c r="J30" s="33" t="inlineStr">
        <is>
          <t>n/n/n</t>
        </is>
      </c>
      <c r="K30" s="17" t="n">
        <v>487.2850289999999</v>
      </c>
      <c r="L30" s="50" t="n">
        <v>0.3788337195149085</v>
      </c>
      <c r="M30" s="17" t="n">
        <v>-250</v>
      </c>
      <c r="N30" s="17" t="n">
        <v>250</v>
      </c>
    </row>
    <row r="31">
      <c r="A31" s="18" t="inlineStr">
        <is>
          <t>March</t>
        </is>
      </c>
      <c r="B31" s="17" t="n">
        <v>240</v>
      </c>
      <c r="C31" s="17" t="n">
        <v>40</v>
      </c>
      <c r="D31" s="17" t="n">
        <v>17</v>
      </c>
      <c r="E31" s="17" t="n">
        <v>240</v>
      </c>
      <c r="F31" s="17" t="n">
        <v>46</v>
      </c>
      <c r="G31" s="17" t="n">
        <v>18.7</v>
      </c>
      <c r="H31" s="17" t="n">
        <v>304.7</v>
      </c>
      <c r="I31" s="25" t="n">
        <v>0</v>
      </c>
      <c r="J31" s="33" t="inlineStr">
        <is>
          <t>n/n/n</t>
        </is>
      </c>
      <c r="K31" s="17" t="n">
        <v>742.821057</v>
      </c>
      <c r="L31" s="50" t="n">
        <v>0.4101930029159095</v>
      </c>
      <c r="M31" s="17" t="n">
        <v>-350</v>
      </c>
      <c r="N31" s="17" t="n">
        <v>350</v>
      </c>
    </row>
    <row r="32">
      <c r="A32" s="18" t="inlineStr">
        <is>
          <t>April</t>
        </is>
      </c>
      <c r="B32" s="17" t="n">
        <v>216</v>
      </c>
      <c r="C32" s="17" t="n">
        <v>104</v>
      </c>
      <c r="D32" s="17" t="n">
        <v>15</v>
      </c>
      <c r="E32" s="17" t="n">
        <v>237.6</v>
      </c>
      <c r="F32" s="17" t="n">
        <v>119.6</v>
      </c>
      <c r="G32" s="17" t="n">
        <v>17.25</v>
      </c>
      <c r="H32" s="17" t="n">
        <v>374.45</v>
      </c>
      <c r="I32" s="25" t="n">
        <v>0</v>
      </c>
      <c r="J32" s="33" t="inlineStr">
        <is>
          <t>n/n/n</t>
        </is>
      </c>
      <c r="K32" s="17" t="n">
        <v>956.725704</v>
      </c>
      <c r="L32" s="50" t="n">
        <v>0.3913869967478161</v>
      </c>
      <c r="M32" s="17" t="n">
        <v>-350</v>
      </c>
      <c r="N32" s="17" t="n">
        <v>350</v>
      </c>
    </row>
    <row r="33">
      <c r="A33" s="26" t="inlineStr">
        <is>
          <t>4-Month Total</t>
        </is>
      </c>
      <c r="B33" s="35" t="n"/>
      <c r="C33" s="35" t="n"/>
      <c r="D33" s="35" t="n"/>
      <c r="E33" s="35" t="n"/>
      <c r="F33" s="35" t="n"/>
      <c r="G33" s="35" t="n"/>
      <c r="H33" s="27" t="n">
        <v>1161.65</v>
      </c>
      <c r="I33" s="27" t="n">
        <v>0</v>
      </c>
      <c r="J33" s="35" t="n"/>
      <c r="K33" s="35" t="n"/>
      <c r="L33" s="35" t="n"/>
      <c r="M33" s="27" t="n">
        <v>-1300</v>
      </c>
      <c r="N33" s="27" t="n">
        <v>1300</v>
      </c>
    </row>
    <row r="36" ht="22" customHeight="1">
      <c r="A36" s="5" t="inlineStr">
        <is>
          <t>Dialinerys Dieguez</t>
        </is>
      </c>
    </row>
    <row r="37">
      <c r="A37" s="6" t="inlineStr">
        <is>
          <t>Month</t>
        </is>
      </c>
      <c r="B37" s="6" t="inlineStr">
        <is>
          <t>NB Count</t>
        </is>
      </c>
      <c r="C37" s="6" t="inlineStr">
        <is>
          <t>NB Premium</t>
        </is>
      </c>
      <c r="D37" s="6" t="inlineStr">
        <is>
          <t>NB Collected</t>
        </is>
      </c>
      <c r="E37" s="6" t="inlineStr">
        <is>
          <t>NB Coll %</t>
        </is>
      </c>
      <c r="F37" s="6" t="inlineStr">
        <is>
          <t>RWR Count</t>
        </is>
      </c>
      <c r="G37" s="6" t="inlineStr">
        <is>
          <t>RWR Premium</t>
        </is>
      </c>
      <c r="H37" s="6" t="inlineStr">
        <is>
          <t>RWR Collected</t>
        </is>
      </c>
      <c r="I37" s="6" t="inlineStr">
        <is>
          <t>RWR Coll %</t>
        </is>
      </c>
      <c r="J37" s="6" t="inlineStr">
        <is>
          <t>REN Count</t>
        </is>
      </c>
      <c r="K37" s="6" t="inlineStr">
        <is>
          <t>REN Premium</t>
        </is>
      </c>
      <c r="L37" s="6" t="inlineStr">
        <is>
          <t>REN Collected</t>
        </is>
      </c>
      <c r="M37" s="6" t="inlineStr">
        <is>
          <t>REN Coll %</t>
        </is>
      </c>
      <c r="N37" s="6" t="inlineStr">
        <is>
          <t>Avg NB Prem</t>
        </is>
      </c>
      <c r="O37" s="6" t="inlineStr">
        <is>
          <t>Avg REN Prem</t>
        </is>
      </c>
      <c r="P37" s="6" t="inlineStr">
        <is>
          <t>Total Collected</t>
        </is>
      </c>
      <c r="Q37" s="6" t="inlineStr">
        <is>
          <t>Safe Net</t>
        </is>
      </c>
      <c r="R37" s="6" t="inlineStr">
        <is>
          <t>Cap</t>
        </is>
      </c>
    </row>
    <row r="38">
      <c r="A38" s="20" t="inlineStr">
        <is>
          <t>January</t>
        </is>
      </c>
      <c r="B38" s="21" t="n">
        <v>23</v>
      </c>
      <c r="C38" s="22" t="n">
        <v>40249.26</v>
      </c>
      <c r="D38" s="22" t="n">
        <v>4925</v>
      </c>
      <c r="E38" s="44" t="n">
        <v>0.1223624980931326</v>
      </c>
      <c r="F38" s="21" t="n">
        <v>48</v>
      </c>
      <c r="G38" s="22" t="n">
        <v>65675.38</v>
      </c>
      <c r="H38" s="22" t="n">
        <v>10936.32</v>
      </c>
      <c r="I38" s="44" t="n">
        <v>0.1665208484518856</v>
      </c>
      <c r="J38" s="21" t="n">
        <v>11</v>
      </c>
      <c r="K38" s="22" t="n">
        <v>12530.47</v>
      </c>
      <c r="L38" s="22" t="n">
        <v>4951.59</v>
      </c>
      <c r="M38" s="44" t="n">
        <v>0.395163948359479</v>
      </c>
      <c r="N38" s="22" t="n">
        <v>1749.967826086957</v>
      </c>
      <c r="O38" s="22" t="n">
        <v>1139.133636363636</v>
      </c>
      <c r="P38" s="22" t="n">
        <v>20812.91</v>
      </c>
      <c r="Q38" s="22" t="n">
        <v>1133.2629495</v>
      </c>
      <c r="R38" s="22" t="n">
        <v>453.3051798</v>
      </c>
    </row>
    <row r="39">
      <c r="A39" s="20" t="inlineStr">
        <is>
          <t>February</t>
        </is>
      </c>
      <c r="B39" s="21" t="n">
        <v>23</v>
      </c>
      <c r="C39" s="22" t="n">
        <v>30057.89</v>
      </c>
      <c r="D39" s="22" t="n">
        <v>5766.72</v>
      </c>
      <c r="E39" s="44" t="n">
        <v>0.1918537861440041</v>
      </c>
      <c r="F39" s="21" t="n">
        <v>56</v>
      </c>
      <c r="G39" s="22" t="n">
        <v>85544.60000000001</v>
      </c>
      <c r="H39" s="22" t="n">
        <v>13931.43</v>
      </c>
      <c r="I39" s="44" t="n">
        <v>0.1628557500999478</v>
      </c>
      <c r="J39" s="21" t="n">
        <v>9</v>
      </c>
      <c r="K39" s="22" t="n">
        <v>11629.68</v>
      </c>
      <c r="L39" s="22" t="n">
        <v>1937.6</v>
      </c>
      <c r="M39" s="44" t="n">
        <v>0.1666081955823376</v>
      </c>
      <c r="N39" s="22" t="n">
        <v>1306.864782608696</v>
      </c>
      <c r="O39" s="22" t="n">
        <v>1292.186666666667</v>
      </c>
      <c r="P39" s="22" t="n">
        <v>21635.75</v>
      </c>
      <c r="Q39" s="22" t="n">
        <v>1178.0665875</v>
      </c>
      <c r="R39" s="22" t="n">
        <v>471.2266349999999</v>
      </c>
    </row>
    <row r="40">
      <c r="A40" s="20" t="inlineStr">
        <is>
          <t>March</t>
        </is>
      </c>
      <c r="B40" s="21" t="n">
        <v>38</v>
      </c>
      <c r="C40" s="22" t="n">
        <v>52434.9</v>
      </c>
      <c r="D40" s="22" t="n">
        <v>10546.59</v>
      </c>
      <c r="E40" s="44" t="n">
        <v>0.2011368382508596</v>
      </c>
      <c r="F40" s="21" t="n">
        <v>69</v>
      </c>
      <c r="G40" s="22" t="n">
        <v>96228.35000000001</v>
      </c>
      <c r="H40" s="22" t="n">
        <v>19700.38</v>
      </c>
      <c r="I40" s="44" t="n">
        <v>0.2047253226310126</v>
      </c>
      <c r="J40" s="21" t="n">
        <v>7</v>
      </c>
      <c r="K40" s="22" t="n">
        <v>5962.5</v>
      </c>
      <c r="L40" s="22" t="n">
        <v>3080</v>
      </c>
      <c r="M40" s="44" t="n">
        <v>0.5165618448637317</v>
      </c>
      <c r="N40" s="22" t="n">
        <v>1379.865789473684</v>
      </c>
      <c r="O40" s="22" t="n">
        <v>851.7857142857143</v>
      </c>
      <c r="P40" s="22" t="n">
        <v>33326.97</v>
      </c>
      <c r="Q40" s="22" t="n">
        <v>1814.6535165</v>
      </c>
      <c r="R40" s="22" t="n">
        <v>725.8614066</v>
      </c>
    </row>
    <row r="41">
      <c r="A41" s="20" t="inlineStr">
        <is>
          <t>April</t>
        </is>
      </c>
      <c r="B41" s="21" t="n">
        <v>33</v>
      </c>
      <c r="C41" s="22" t="n">
        <v>49689.35</v>
      </c>
      <c r="D41" s="22" t="n">
        <v>8831.440000000001</v>
      </c>
      <c r="E41" s="44" t="n">
        <v>0.1777330554736579</v>
      </c>
      <c r="F41" s="21" t="n">
        <v>44</v>
      </c>
      <c r="G41" s="22" t="n">
        <v>64165.43</v>
      </c>
      <c r="H41" s="22" t="n">
        <v>16668.05</v>
      </c>
      <c r="I41" s="44" t="n">
        <v>0.2597668245969831</v>
      </c>
      <c r="J41" s="21" t="n">
        <v>2</v>
      </c>
      <c r="K41" s="22" t="n">
        <v>19575</v>
      </c>
      <c r="L41" s="22" t="n">
        <v>2939.65</v>
      </c>
      <c r="M41" s="44" t="n">
        <v>0.1501736909323116</v>
      </c>
      <c r="N41" s="22" t="n">
        <v>1505.737878787879</v>
      </c>
      <c r="O41" s="22" t="n">
        <v>9787.5</v>
      </c>
      <c r="P41" s="22" t="n">
        <v>28439.14</v>
      </c>
      <c r="Q41" s="22" t="n">
        <v>1548.511173</v>
      </c>
      <c r="R41" s="22" t="n">
        <v>619.4044691999999</v>
      </c>
    </row>
    <row r="43">
      <c r="A43" s="45" t="inlineStr">
        <is>
          <t>PROPOSAL A - PREMIUM-BASED</t>
        </is>
      </c>
    </row>
    <row r="44">
      <c r="A44" s="6" t="inlineStr">
        <is>
          <t>Month</t>
        </is>
      </c>
      <c r="B44" s="6" t="inlineStr">
        <is>
          <t>NB Tier</t>
        </is>
      </c>
      <c r="C44" s="6" t="inlineStr">
        <is>
          <t>NB Per-Policy $</t>
        </is>
      </c>
      <c r="D44" s="6" t="inlineStr">
        <is>
          <t>NB Target (w/ kicker)</t>
        </is>
      </c>
      <c r="E44" s="6" t="inlineStr">
        <is>
          <t>REN Tier</t>
        </is>
      </c>
      <c r="F44" s="6" t="inlineStr">
        <is>
          <t>REN Per-Policy $</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12" t="inlineStr">
        <is>
          <t>January</t>
        </is>
      </c>
      <c r="B45" s="12" t="inlineStr">
        <is>
          <t>$1,200-$1,799</t>
        </is>
      </c>
      <c r="C45" s="11" t="n">
        <v>7</v>
      </c>
      <c r="D45" s="11" t="n">
        <v>161</v>
      </c>
      <c r="E45" s="12" t="inlineStr">
        <is>
          <t>Under $1,200</t>
        </is>
      </c>
      <c r="F45" s="11" t="n">
        <v>4</v>
      </c>
      <c r="G45" s="11" t="n">
        <v>50.59999999999999</v>
      </c>
      <c r="H45" s="11" t="n">
        <v>105.6</v>
      </c>
      <c r="I45" s="11" t="n">
        <v>317.2</v>
      </c>
      <c r="J45" s="23" t="n">
        <v>0</v>
      </c>
      <c r="K45" s="33" t="inlineStr">
        <is>
          <t>n/n/n</t>
        </is>
      </c>
      <c r="L45" s="11" t="n">
        <v>1133.2629495</v>
      </c>
      <c r="M45" s="46" t="n">
        <v>0.2798997356614807</v>
      </c>
      <c r="N45" s="11" t="n">
        <v>-660</v>
      </c>
      <c r="O45" s="11" t="n">
        <v>660</v>
      </c>
    </row>
    <row r="46">
      <c r="A46" s="12" t="inlineStr">
        <is>
          <t>February</t>
        </is>
      </c>
      <c r="B46" s="12" t="inlineStr">
        <is>
          <t>$1,200-$1,799</t>
        </is>
      </c>
      <c r="C46" s="11" t="n">
        <v>7</v>
      </c>
      <c r="D46" s="11" t="n">
        <v>177.1</v>
      </c>
      <c r="E46" s="12" t="inlineStr">
        <is>
          <t>$1,200-$1,799</t>
        </is>
      </c>
      <c r="F46" s="11" t="n">
        <v>5</v>
      </c>
      <c r="G46" s="11" t="n">
        <v>49.50000000000001</v>
      </c>
      <c r="H46" s="11" t="n">
        <v>123.2</v>
      </c>
      <c r="I46" s="11" t="n">
        <v>349.8000000000001</v>
      </c>
      <c r="J46" s="23" t="n">
        <v>0</v>
      </c>
      <c r="K46" s="33" t="inlineStr">
        <is>
          <t>n/n/n</t>
        </is>
      </c>
      <c r="L46" s="11" t="n">
        <v>1178.0665875</v>
      </c>
      <c r="M46" s="46" t="n">
        <v>0.296927188761306</v>
      </c>
      <c r="N46" s="11" t="n">
        <v>-740</v>
      </c>
      <c r="O46" s="11" t="n">
        <v>740</v>
      </c>
    </row>
    <row r="47">
      <c r="A47" s="12" t="inlineStr">
        <is>
          <t>March</t>
        </is>
      </c>
      <c r="B47" s="12" t="inlineStr">
        <is>
          <t>$1,200-$1,799</t>
        </is>
      </c>
      <c r="C47" s="11" t="n">
        <v>7</v>
      </c>
      <c r="D47" s="11" t="n">
        <v>292.6</v>
      </c>
      <c r="E47" s="12" t="inlineStr">
        <is>
          <t>Under $1,200</t>
        </is>
      </c>
      <c r="F47" s="11" t="n">
        <v>4</v>
      </c>
      <c r="G47" s="11" t="n">
        <v>33.6</v>
      </c>
      <c r="H47" s="11" t="n">
        <v>151.8</v>
      </c>
      <c r="I47" s="11" t="n">
        <v>478.0000000000001</v>
      </c>
      <c r="J47" s="23" t="n">
        <v>292.6</v>
      </c>
      <c r="K47" s="51" t="inlineStr">
        <is>
          <t>Y/n/n</t>
        </is>
      </c>
      <c r="L47" s="11" t="n">
        <v>1814.6535165</v>
      </c>
      <c r="M47" s="46" t="n">
        <v>0.2634111667344294</v>
      </c>
      <c r="N47" s="11" t="n">
        <v>-727.4</v>
      </c>
      <c r="O47" s="11" t="n">
        <v>1020</v>
      </c>
    </row>
    <row r="48">
      <c r="A48" s="12" t="inlineStr">
        <is>
          <t>April</t>
        </is>
      </c>
      <c r="B48" s="12" t="inlineStr">
        <is>
          <t>$1,200-$1,799</t>
        </is>
      </c>
      <c r="C48" s="11" t="n">
        <v>7</v>
      </c>
      <c r="D48" s="11" t="n">
        <v>254.1</v>
      </c>
      <c r="E48" s="12" t="inlineStr">
        <is>
          <t>$1,800+</t>
        </is>
      </c>
      <c r="F48" s="11" t="n">
        <v>6</v>
      </c>
      <c r="G48" s="11" t="n">
        <v>13.2</v>
      </c>
      <c r="H48" s="11" t="n">
        <v>101.2</v>
      </c>
      <c r="I48" s="11" t="n">
        <v>368.5</v>
      </c>
      <c r="J48" s="23" t="n">
        <v>0</v>
      </c>
      <c r="K48" s="33" t="inlineStr">
        <is>
          <t>n/n/n</t>
        </is>
      </c>
      <c r="L48" s="11" t="n">
        <v>1548.511173</v>
      </c>
      <c r="M48" s="46" t="n">
        <v>0.2379705141462354</v>
      </c>
      <c r="N48" s="11" t="n">
        <v>-720</v>
      </c>
      <c r="O48" s="11" t="n">
        <v>720</v>
      </c>
    </row>
    <row r="49">
      <c r="A49" s="26" t="inlineStr">
        <is>
          <t>4-Month Total</t>
        </is>
      </c>
      <c r="B49" s="35" t="n"/>
      <c r="C49" s="35" t="n"/>
      <c r="D49" s="35" t="n"/>
      <c r="E49" s="35" t="n"/>
      <c r="F49" s="35" t="n"/>
      <c r="G49" s="35" t="n"/>
      <c r="H49" s="35" t="n"/>
      <c r="I49" s="27" t="n">
        <v>1513.5</v>
      </c>
      <c r="J49" s="27" t="n">
        <v>292.6</v>
      </c>
      <c r="K49" s="35" t="n"/>
      <c r="L49" s="35" t="n"/>
      <c r="M49" s="35" t="n"/>
      <c r="N49" s="27" t="n">
        <v>-2847.4</v>
      </c>
      <c r="O49" s="27" t="n">
        <v>3140</v>
      </c>
    </row>
    <row r="51">
      <c r="A51" s="47" t="inlineStr">
        <is>
          <t>PROPOSAL B - COVERAGE-BASED</t>
        </is>
      </c>
    </row>
    <row r="52">
      <c r="A52" s="6" t="inlineStr">
        <is>
          <t>Month</t>
        </is>
      </c>
      <c r="B52" s="6" t="inlineStr">
        <is>
          <t>NB Base ($10 x ct)</t>
        </is>
      </c>
      <c r="C52" s="6" t="inlineStr">
        <is>
          <t>NB Liab Add ($5 x 35%)</t>
        </is>
      </c>
      <c r="D52" s="6" t="inlineStr">
        <is>
          <t>NB Target (w/ kicker)</t>
        </is>
      </c>
      <c r="E52" s="6" t="inlineStr">
        <is>
          <t>REN Base ($6 x ct)</t>
        </is>
      </c>
      <c r="F52" s="6" t="inlineStr">
        <is>
          <t>REN Liab Add ($3 x 30%)</t>
        </is>
      </c>
      <c r="G52" s="6" t="inlineStr">
        <is>
          <t>REN Target (w/ kicker)</t>
        </is>
      </c>
      <c r="H52" s="6" t="inlineStr">
        <is>
          <t>RWR Target (w/ kicker)</t>
        </is>
      </c>
      <c r="I52" s="6" t="inlineStr">
        <is>
          <t>Total Target (no min)</t>
        </is>
      </c>
      <c r="J52" s="6" t="inlineStr">
        <is>
          <t>PAID after MIN</t>
        </is>
      </c>
      <c r="K52" s="6" t="inlineStr">
        <is>
          <t>Gates (NB/REN/RWR)</t>
        </is>
      </c>
      <c r="L52" s="6" t="inlineStr">
        <is>
          <t>Safe Net</t>
        </is>
      </c>
      <c r="M52" s="6" t="inlineStr">
        <is>
          <t>Bonus % SN</t>
        </is>
      </c>
      <c r="N52" s="6" t="inlineStr">
        <is>
          <t>vs Current</t>
        </is>
      </c>
      <c r="O52" s="6" t="inlineStr">
        <is>
          <t>Current Bonus</t>
        </is>
      </c>
    </row>
    <row r="53">
      <c r="A53" s="15" t="inlineStr">
        <is>
          <t>January</t>
        </is>
      </c>
      <c r="B53" s="14" t="n">
        <v>230</v>
      </c>
      <c r="C53" s="14" t="n">
        <v>40.24999999999999</v>
      </c>
      <c r="D53" s="14" t="n">
        <v>270.25</v>
      </c>
      <c r="E53" s="14" t="n">
        <v>66</v>
      </c>
      <c r="F53" s="14" t="n">
        <v>9.899999999999999</v>
      </c>
      <c r="G53" s="14" t="n">
        <v>87.285</v>
      </c>
      <c r="H53" s="14" t="n">
        <v>105.6</v>
      </c>
      <c r="I53" s="14" t="n">
        <v>463.135</v>
      </c>
      <c r="J53" s="24" t="n">
        <v>0</v>
      </c>
      <c r="K53" s="33" t="inlineStr">
        <is>
          <t>n/n/n</t>
        </is>
      </c>
      <c r="L53" s="14" t="n">
        <v>1133.2629495</v>
      </c>
      <c r="M53" s="48" t="n">
        <v>0.4086739094438206</v>
      </c>
      <c r="N53" s="14" t="n">
        <v>-660</v>
      </c>
      <c r="O53" s="14" t="n">
        <v>660</v>
      </c>
    </row>
    <row r="54">
      <c r="A54" s="15" t="inlineStr">
        <is>
          <t>February</t>
        </is>
      </c>
      <c r="B54" s="14" t="n">
        <v>230</v>
      </c>
      <c r="C54" s="14" t="n">
        <v>40.24999999999999</v>
      </c>
      <c r="D54" s="14" t="n">
        <v>297.275</v>
      </c>
      <c r="E54" s="14" t="n">
        <v>54</v>
      </c>
      <c r="F54" s="14" t="n">
        <v>8.1</v>
      </c>
      <c r="G54" s="14" t="n">
        <v>68.31</v>
      </c>
      <c r="H54" s="14" t="n">
        <v>123.2</v>
      </c>
      <c r="I54" s="14" t="n">
        <v>488.7850000000001</v>
      </c>
      <c r="J54" s="24" t="n">
        <v>0</v>
      </c>
      <c r="K54" s="33" t="inlineStr">
        <is>
          <t>n/n/n</t>
        </is>
      </c>
      <c r="L54" s="14" t="n">
        <v>1178.0665875</v>
      </c>
      <c r="M54" s="48" t="n">
        <v>0.4149043909625356</v>
      </c>
      <c r="N54" s="14" t="n">
        <v>-740</v>
      </c>
      <c r="O54" s="14" t="n">
        <v>740</v>
      </c>
    </row>
    <row r="55">
      <c r="A55" s="15" t="inlineStr">
        <is>
          <t>March</t>
        </is>
      </c>
      <c r="B55" s="14" t="n">
        <v>380</v>
      </c>
      <c r="C55" s="14" t="n">
        <v>66.5</v>
      </c>
      <c r="D55" s="14" t="n">
        <v>491.15</v>
      </c>
      <c r="E55" s="14" t="n">
        <v>42</v>
      </c>
      <c r="F55" s="14" t="n">
        <v>6.300000000000001</v>
      </c>
      <c r="G55" s="14" t="n">
        <v>57.95999999999999</v>
      </c>
      <c r="H55" s="14" t="n">
        <v>151.8</v>
      </c>
      <c r="I55" s="14" t="n">
        <v>700.9100000000001</v>
      </c>
      <c r="J55" s="24" t="n">
        <v>491.15</v>
      </c>
      <c r="K55" s="51" t="inlineStr">
        <is>
          <t>Y/n/n</t>
        </is>
      </c>
      <c r="L55" s="14" t="n">
        <v>1814.6535165</v>
      </c>
      <c r="M55" s="48" t="n">
        <v>0.3862500436732822</v>
      </c>
      <c r="N55" s="14" t="n">
        <v>-528.8499999999999</v>
      </c>
      <c r="O55" s="14" t="n">
        <v>1020</v>
      </c>
    </row>
    <row r="56">
      <c r="A56" s="15" t="inlineStr">
        <is>
          <t>April</t>
        </is>
      </c>
      <c r="B56" s="14" t="n">
        <v>330</v>
      </c>
      <c r="C56" s="14" t="n">
        <v>57.74999999999999</v>
      </c>
      <c r="D56" s="14" t="n">
        <v>426.525</v>
      </c>
      <c r="E56" s="14" t="n">
        <v>12</v>
      </c>
      <c r="F56" s="14" t="n">
        <v>1.8</v>
      </c>
      <c r="G56" s="14" t="n">
        <v>15.18</v>
      </c>
      <c r="H56" s="14" t="n">
        <v>101.2</v>
      </c>
      <c r="I56" s="14" t="n">
        <v>542.905</v>
      </c>
      <c r="J56" s="24" t="n">
        <v>0</v>
      </c>
      <c r="K56" s="33" t="inlineStr">
        <is>
          <t>n/n/n</t>
        </is>
      </c>
      <c r="L56" s="14" t="n">
        <v>1548.511173</v>
      </c>
      <c r="M56" s="48" t="n">
        <v>0.3505980515130582</v>
      </c>
      <c r="N56" s="14" t="n">
        <v>-720</v>
      </c>
      <c r="O56" s="14" t="n">
        <v>720</v>
      </c>
    </row>
    <row r="57">
      <c r="A57" s="26" t="inlineStr">
        <is>
          <t>4-Month Total</t>
        </is>
      </c>
      <c r="B57" s="35" t="n"/>
      <c r="C57" s="35" t="n"/>
      <c r="D57" s="35" t="n"/>
      <c r="E57" s="35" t="n"/>
      <c r="F57" s="35" t="n"/>
      <c r="G57" s="35" t="n"/>
      <c r="H57" s="35" t="n"/>
      <c r="I57" s="27" t="n">
        <v>2195.735</v>
      </c>
      <c r="J57" s="27" t="n">
        <v>491.15</v>
      </c>
      <c r="K57" s="35" t="n"/>
      <c r="L57" s="35" t="n"/>
      <c r="M57" s="35" t="n"/>
      <c r="N57" s="27" t="n">
        <v>-2648.85</v>
      </c>
      <c r="O57" s="27" t="n">
        <v>3140</v>
      </c>
    </row>
    <row r="59">
      <c r="A59" s="49" t="inlineStr">
        <is>
          <t>PROPOSAL C - PERSISTENCY (BONUS IDEA)</t>
        </is>
      </c>
    </row>
    <row r="60">
      <c r="A60" s="6" t="inlineStr">
        <is>
          <t>Month</t>
        </is>
      </c>
      <c r="B60" s="6" t="inlineStr">
        <is>
          <t>NB ($8 x ct)</t>
        </is>
      </c>
      <c r="C60" s="6" t="inlineStr">
        <is>
          <t>REN ($8 x ct)</t>
        </is>
      </c>
      <c r="D60" s="6" t="inlineStr">
        <is>
          <t>RWR ($1 x ct)</t>
        </is>
      </c>
      <c r="E60" s="6" t="inlineStr">
        <is>
          <t>NB Target</t>
        </is>
      </c>
      <c r="F60" s="6" t="inlineStr">
        <is>
          <t>REN Target</t>
        </is>
      </c>
      <c r="G60" s="6" t="inlineStr">
        <is>
          <t>RWR Target</t>
        </is>
      </c>
      <c r="H60" s="6" t="inlineStr">
        <is>
          <t>Total Target (no min)</t>
        </is>
      </c>
      <c r="I60" s="6" t="inlineStr">
        <is>
          <t>PAID after MIN</t>
        </is>
      </c>
      <c r="J60" s="6" t="inlineStr">
        <is>
          <t>Gates (NB/REN/RWR)</t>
        </is>
      </c>
      <c r="K60" s="6" t="inlineStr">
        <is>
          <t>Safe Net</t>
        </is>
      </c>
      <c r="L60" s="6" t="inlineStr">
        <is>
          <t>Bonus % SN</t>
        </is>
      </c>
      <c r="M60" s="6" t="inlineStr">
        <is>
          <t>vs Current</t>
        </is>
      </c>
      <c r="N60" s="6" t="inlineStr">
        <is>
          <t>Current Bonus</t>
        </is>
      </c>
    </row>
    <row r="61">
      <c r="A61" s="18" t="inlineStr">
        <is>
          <t>January</t>
        </is>
      </c>
      <c r="B61" s="17" t="n">
        <v>184</v>
      </c>
      <c r="C61" s="17" t="n">
        <v>88</v>
      </c>
      <c r="D61" s="17" t="n">
        <v>48</v>
      </c>
      <c r="E61" s="17" t="n">
        <v>184</v>
      </c>
      <c r="F61" s="17" t="n">
        <v>101.2</v>
      </c>
      <c r="G61" s="17" t="n">
        <v>52.8</v>
      </c>
      <c r="H61" s="17" t="n">
        <v>338</v>
      </c>
      <c r="I61" s="25" t="n">
        <v>0</v>
      </c>
      <c r="J61" s="33" t="inlineStr">
        <is>
          <t>n/n/n</t>
        </is>
      </c>
      <c r="K61" s="17" t="n">
        <v>1133.2629495</v>
      </c>
      <c r="L61" s="50" t="n">
        <v>0.2982538166884631</v>
      </c>
      <c r="M61" s="17" t="n">
        <v>-660</v>
      </c>
      <c r="N61" s="17" t="n">
        <v>660</v>
      </c>
    </row>
    <row r="62">
      <c r="A62" s="18" t="inlineStr">
        <is>
          <t>February</t>
        </is>
      </c>
      <c r="B62" s="17" t="n">
        <v>184</v>
      </c>
      <c r="C62" s="17" t="n">
        <v>72</v>
      </c>
      <c r="D62" s="17" t="n">
        <v>56</v>
      </c>
      <c r="E62" s="17" t="n">
        <v>202.4</v>
      </c>
      <c r="F62" s="17" t="n">
        <v>79.2</v>
      </c>
      <c r="G62" s="17" t="n">
        <v>61.60000000000001</v>
      </c>
      <c r="H62" s="17" t="n">
        <v>343.2</v>
      </c>
      <c r="I62" s="25" t="n">
        <v>0</v>
      </c>
      <c r="J62" s="33" t="inlineStr">
        <is>
          <t>n/n/n</t>
        </is>
      </c>
      <c r="K62" s="17" t="n">
        <v>1178.0665875</v>
      </c>
      <c r="L62" s="50" t="n">
        <v>0.2913247889733568</v>
      </c>
      <c r="M62" s="17" t="n">
        <v>-740</v>
      </c>
      <c r="N62" s="17" t="n">
        <v>740</v>
      </c>
    </row>
    <row r="63">
      <c r="A63" s="18" t="inlineStr">
        <is>
          <t>March</t>
        </is>
      </c>
      <c r="B63" s="17" t="n">
        <v>304</v>
      </c>
      <c r="C63" s="17" t="n">
        <v>56</v>
      </c>
      <c r="D63" s="17" t="n">
        <v>69</v>
      </c>
      <c r="E63" s="17" t="n">
        <v>334.4</v>
      </c>
      <c r="F63" s="17" t="n">
        <v>67.2</v>
      </c>
      <c r="G63" s="17" t="n">
        <v>75.90000000000001</v>
      </c>
      <c r="H63" s="17" t="n">
        <v>477.5</v>
      </c>
      <c r="I63" s="25" t="n">
        <v>334.4</v>
      </c>
      <c r="J63" s="51" t="inlineStr">
        <is>
          <t>Y/n/n</t>
        </is>
      </c>
      <c r="K63" s="17" t="n">
        <v>1814.6535165</v>
      </c>
      <c r="L63" s="50" t="n">
        <v>0.2631356320411925</v>
      </c>
      <c r="M63" s="17" t="n">
        <v>-685.5999999999999</v>
      </c>
      <c r="N63" s="17" t="n">
        <v>1020</v>
      </c>
    </row>
    <row r="64">
      <c r="A64" s="18" t="inlineStr">
        <is>
          <t>April</t>
        </is>
      </c>
      <c r="B64" s="17" t="n">
        <v>264</v>
      </c>
      <c r="C64" s="17" t="n">
        <v>16</v>
      </c>
      <c r="D64" s="17" t="n">
        <v>44</v>
      </c>
      <c r="E64" s="17" t="n">
        <v>290.4</v>
      </c>
      <c r="F64" s="17" t="n">
        <v>17.6</v>
      </c>
      <c r="G64" s="17" t="n">
        <v>50.59999999999999</v>
      </c>
      <c r="H64" s="17" t="n">
        <v>358.6</v>
      </c>
      <c r="I64" s="25" t="n">
        <v>0</v>
      </c>
      <c r="J64" s="33" t="inlineStr">
        <is>
          <t>n/n/n</t>
        </is>
      </c>
      <c r="K64" s="17" t="n">
        <v>1548.511173</v>
      </c>
      <c r="L64" s="50" t="n">
        <v>0.2315772764527545</v>
      </c>
      <c r="M64" s="17" t="n">
        <v>-720</v>
      </c>
      <c r="N64" s="17" t="n">
        <v>720</v>
      </c>
    </row>
    <row r="65">
      <c r="A65" s="26" t="inlineStr">
        <is>
          <t>4-Month Total</t>
        </is>
      </c>
      <c r="B65" s="35" t="n"/>
      <c r="C65" s="35" t="n"/>
      <c r="D65" s="35" t="n"/>
      <c r="E65" s="35" t="n"/>
      <c r="F65" s="35" t="n"/>
      <c r="G65" s="35" t="n"/>
      <c r="H65" s="27" t="n">
        <v>1517.3</v>
      </c>
      <c r="I65" s="27" t="n">
        <v>334.4</v>
      </c>
      <c r="J65" s="35" t="n"/>
      <c r="K65" s="35" t="n"/>
      <c r="L65" s="35" t="n"/>
      <c r="M65" s="27" t="n">
        <v>-2805.6</v>
      </c>
      <c r="N65" s="27" t="n">
        <v>3140</v>
      </c>
    </row>
    <row r="68" ht="22" customHeight="1">
      <c r="A68" s="5" t="inlineStr">
        <is>
          <t>Melissa Hernandez</t>
        </is>
      </c>
    </row>
    <row r="69">
      <c r="A69" s="6" t="inlineStr">
        <is>
          <t>Month</t>
        </is>
      </c>
      <c r="B69" s="6" t="inlineStr">
        <is>
          <t>NB Count</t>
        </is>
      </c>
      <c r="C69" s="6" t="inlineStr">
        <is>
          <t>NB Premium</t>
        </is>
      </c>
      <c r="D69" s="6" t="inlineStr">
        <is>
          <t>NB Collected</t>
        </is>
      </c>
      <c r="E69" s="6" t="inlineStr">
        <is>
          <t>NB Coll %</t>
        </is>
      </c>
      <c r="F69" s="6" t="inlineStr">
        <is>
          <t>RWR Count</t>
        </is>
      </c>
      <c r="G69" s="6" t="inlineStr">
        <is>
          <t>RWR Premium</t>
        </is>
      </c>
      <c r="H69" s="6" t="inlineStr">
        <is>
          <t>RWR Collected</t>
        </is>
      </c>
      <c r="I69" s="6" t="inlineStr">
        <is>
          <t>RWR Coll %</t>
        </is>
      </c>
      <c r="J69" s="6" t="inlineStr">
        <is>
          <t>REN Count</t>
        </is>
      </c>
      <c r="K69" s="6" t="inlineStr">
        <is>
          <t>REN Premium</t>
        </is>
      </c>
      <c r="L69" s="6" t="inlineStr">
        <is>
          <t>REN Collected</t>
        </is>
      </c>
      <c r="M69" s="6" t="inlineStr">
        <is>
          <t>REN Coll %</t>
        </is>
      </c>
      <c r="N69" s="6" t="inlineStr">
        <is>
          <t>Avg NB Prem</t>
        </is>
      </c>
      <c r="O69" s="6" t="inlineStr">
        <is>
          <t>Avg REN Prem</t>
        </is>
      </c>
      <c r="P69" s="6" t="inlineStr">
        <is>
          <t>Total Collected</t>
        </is>
      </c>
      <c r="Q69" s="6" t="inlineStr">
        <is>
          <t>Safe Net</t>
        </is>
      </c>
      <c r="R69" s="6" t="inlineStr">
        <is>
          <t>Cap</t>
        </is>
      </c>
    </row>
    <row r="70">
      <c r="A70" s="20" t="inlineStr">
        <is>
          <t>January</t>
        </is>
      </c>
      <c r="B70" s="21" t="n">
        <v>31</v>
      </c>
      <c r="C70" s="22" t="n">
        <v>37039</v>
      </c>
      <c r="D70" s="22" t="n">
        <v>7651.14</v>
      </c>
      <c r="E70" s="44" t="n">
        <v>0.2065698317989147</v>
      </c>
      <c r="F70" s="21" t="n">
        <v>48</v>
      </c>
      <c r="G70" s="22" t="n">
        <v>63374.5</v>
      </c>
      <c r="H70" s="22" t="n">
        <v>11897.57</v>
      </c>
      <c r="I70" s="44" t="n">
        <v>0.1877343410993381</v>
      </c>
      <c r="J70" s="21" t="n">
        <v>0</v>
      </c>
      <c r="K70" s="22" t="n">
        <v>0</v>
      </c>
      <c r="L70" s="22" t="n">
        <v>0</v>
      </c>
      <c r="M70" s="44" t="n">
        <v>0</v>
      </c>
      <c r="N70" s="22" t="n">
        <v>1194.806451612903</v>
      </c>
      <c r="O70" s="22" t="n">
        <v>0</v>
      </c>
      <c r="P70" s="22" t="n">
        <v>19548.71</v>
      </c>
      <c r="Q70" s="22" t="n">
        <v>1064.4272595</v>
      </c>
      <c r="R70" s="22" t="n">
        <v>425.7709037999999</v>
      </c>
    </row>
    <row r="71">
      <c r="A71" s="20" t="inlineStr">
        <is>
          <t>February</t>
        </is>
      </c>
      <c r="B71" s="21" t="n">
        <v>13</v>
      </c>
      <c r="C71" s="22" t="n">
        <v>7659.5</v>
      </c>
      <c r="D71" s="22" t="n">
        <v>2095.02</v>
      </c>
      <c r="E71" s="44" t="n">
        <v>0.2735191592140479</v>
      </c>
      <c r="F71" s="21" t="n">
        <v>37</v>
      </c>
      <c r="G71" s="22" t="n">
        <v>49990.7</v>
      </c>
      <c r="H71" s="22" t="n">
        <v>6802.73</v>
      </c>
      <c r="I71" s="44" t="n">
        <v>0.1360799108634206</v>
      </c>
      <c r="J71" s="21" t="n">
        <v>1</v>
      </c>
      <c r="K71" s="22" t="n">
        <v>1063</v>
      </c>
      <c r="L71" s="22" t="n">
        <v>91.75</v>
      </c>
      <c r="M71" s="44" t="n">
        <v>0.08631232361241768</v>
      </c>
      <c r="N71" s="22" t="n">
        <v>589.1923076923077</v>
      </c>
      <c r="O71" s="22" t="n">
        <v>1063</v>
      </c>
      <c r="P71" s="22" t="n">
        <v>8989.5</v>
      </c>
      <c r="Q71" s="22" t="n">
        <v>489.4782749999999</v>
      </c>
      <c r="R71" s="22" t="n">
        <v>195.79131</v>
      </c>
    </row>
    <row r="72">
      <c r="A72" s="20" t="inlineStr">
        <is>
          <t>March</t>
        </is>
      </c>
      <c r="B72" s="21" t="n">
        <v>28</v>
      </c>
      <c r="C72" s="22" t="n">
        <v>39759.7</v>
      </c>
      <c r="D72" s="22" t="n">
        <v>5669.41</v>
      </c>
      <c r="E72" s="44" t="n">
        <v>0.142591870663008</v>
      </c>
      <c r="F72" s="21" t="n">
        <v>48</v>
      </c>
      <c r="G72" s="22" t="n">
        <v>56860.6</v>
      </c>
      <c r="H72" s="22" t="n">
        <v>8620.469999999999</v>
      </c>
      <c r="I72" s="44" t="n">
        <v>0.1516070882122243</v>
      </c>
      <c r="J72" s="21" t="n">
        <v>1</v>
      </c>
      <c r="K72" s="22" t="n">
        <v>1034</v>
      </c>
      <c r="L72" s="22" t="n">
        <v>180.45</v>
      </c>
      <c r="M72" s="44" t="n">
        <v>0.1745164410058027</v>
      </c>
      <c r="N72" s="22" t="n">
        <v>1419.989285714286</v>
      </c>
      <c r="O72" s="22" t="n">
        <v>1034</v>
      </c>
      <c r="P72" s="22" t="n">
        <v>14470.33</v>
      </c>
      <c r="Q72" s="22" t="n">
        <v>787.9094684999999</v>
      </c>
      <c r="R72" s="22" t="n">
        <v>315.1637874</v>
      </c>
    </row>
    <row r="73">
      <c r="A73" s="20" t="inlineStr">
        <is>
          <t>April</t>
        </is>
      </c>
      <c r="B73" s="21" t="n">
        <v>15</v>
      </c>
      <c r="C73" s="22" t="n">
        <v>19288.35</v>
      </c>
      <c r="D73" s="22" t="n">
        <v>4344.3</v>
      </c>
      <c r="E73" s="44" t="n">
        <v>0.225229218673448</v>
      </c>
      <c r="F73" s="21" t="n">
        <v>37</v>
      </c>
      <c r="G73" s="22" t="n">
        <v>43396.2</v>
      </c>
      <c r="H73" s="22" t="n">
        <v>7660.7</v>
      </c>
      <c r="I73" s="44" t="n">
        <v>0.1765292813656495</v>
      </c>
      <c r="J73" s="21" t="n">
        <v>0</v>
      </c>
      <c r="K73" s="22" t="n">
        <v>0</v>
      </c>
      <c r="L73" s="22" t="n">
        <v>0</v>
      </c>
      <c r="M73" s="44" t="n">
        <v>0</v>
      </c>
      <c r="N73" s="22" t="n">
        <v>1285.89</v>
      </c>
      <c r="O73" s="22" t="n">
        <v>0</v>
      </c>
      <c r="P73" s="22" t="n">
        <v>12005</v>
      </c>
      <c r="Q73" s="22" t="n">
        <v>653.67225</v>
      </c>
      <c r="R73" s="22" t="n">
        <v>261.4689</v>
      </c>
    </row>
    <row r="75">
      <c r="A75" s="45" t="inlineStr">
        <is>
          <t>PROPOSAL A - PREMIUM-BASED</t>
        </is>
      </c>
    </row>
    <row r="76">
      <c r="A76" s="6" t="inlineStr">
        <is>
          <t>Month</t>
        </is>
      </c>
      <c r="B76" s="6" t="inlineStr">
        <is>
          <t>NB Tier</t>
        </is>
      </c>
      <c r="C76" s="6" t="inlineStr">
        <is>
          <t>NB Per-Policy $</t>
        </is>
      </c>
      <c r="D76" s="6" t="inlineStr">
        <is>
          <t>NB Target (w/ kicker)</t>
        </is>
      </c>
      <c r="E76" s="6" t="inlineStr">
        <is>
          <t>REN Tier</t>
        </is>
      </c>
      <c r="F76" s="6" t="inlineStr">
        <is>
          <t>REN Per-Policy $</t>
        </is>
      </c>
      <c r="G76" s="6" t="inlineStr">
        <is>
          <t>REN Target (w/ kicker)</t>
        </is>
      </c>
      <c r="H76" s="6" t="inlineStr">
        <is>
          <t>RWR Target (w/ kicker)</t>
        </is>
      </c>
      <c r="I76" s="6" t="inlineStr">
        <is>
          <t>Total Target (no min)</t>
        </is>
      </c>
      <c r="J76" s="6" t="inlineStr">
        <is>
          <t>PAID after MIN</t>
        </is>
      </c>
      <c r="K76" s="6" t="inlineStr">
        <is>
          <t>Gates (NB/REN/RWR)</t>
        </is>
      </c>
      <c r="L76" s="6" t="inlineStr">
        <is>
          <t>Safe Net</t>
        </is>
      </c>
      <c r="M76" s="6" t="inlineStr">
        <is>
          <t>Bonus % SN</t>
        </is>
      </c>
      <c r="N76" s="6" t="inlineStr">
        <is>
          <t>vs Current</t>
        </is>
      </c>
      <c r="O76" s="6" t="inlineStr">
        <is>
          <t>Current Bonus</t>
        </is>
      </c>
    </row>
    <row r="77">
      <c r="A77" s="12" t="inlineStr">
        <is>
          <t>January</t>
        </is>
      </c>
      <c r="B77" s="12" t="inlineStr">
        <is>
          <t>Under $1,200</t>
        </is>
      </c>
      <c r="C77" s="11" t="n">
        <v>5</v>
      </c>
      <c r="D77" s="11" t="n">
        <v>170.5</v>
      </c>
      <c r="E77" s="12" t="inlineStr">
        <is>
          <t>Under $1,200</t>
        </is>
      </c>
      <c r="F77" s="11" t="n">
        <v>4</v>
      </c>
      <c r="G77" s="11" t="n">
        <v>0</v>
      </c>
      <c r="H77" s="11" t="n">
        <v>105.6</v>
      </c>
      <c r="I77" s="11" t="n">
        <v>276.1</v>
      </c>
      <c r="J77" s="23" t="n">
        <v>0</v>
      </c>
      <c r="K77" s="33" t="inlineStr">
        <is>
          <t>n/n/n</t>
        </is>
      </c>
      <c r="L77" s="11" t="n">
        <v>1064.4272595</v>
      </c>
      <c r="M77" s="46" t="n">
        <v>0.259388321311589</v>
      </c>
      <c r="N77" s="11" t="n">
        <v>-740</v>
      </c>
      <c r="O77" s="11" t="n">
        <v>740</v>
      </c>
    </row>
    <row r="78">
      <c r="A78" s="12" t="inlineStr">
        <is>
          <t>February</t>
        </is>
      </c>
      <c r="B78" s="12" t="inlineStr">
        <is>
          <t>Under $1,200</t>
        </is>
      </c>
      <c r="C78" s="11" t="n">
        <v>5</v>
      </c>
      <c r="D78" s="11" t="n">
        <v>74.75</v>
      </c>
      <c r="E78" s="12" t="inlineStr">
        <is>
          <t>Under $1,200</t>
        </is>
      </c>
      <c r="F78" s="11" t="n">
        <v>4</v>
      </c>
      <c r="G78" s="11" t="n">
        <v>4</v>
      </c>
      <c r="H78" s="11" t="n">
        <v>74</v>
      </c>
      <c r="I78" s="11" t="n">
        <v>152.75</v>
      </c>
      <c r="J78" s="23" t="n">
        <v>0</v>
      </c>
      <c r="K78" s="33" t="inlineStr">
        <is>
          <t>n/n/n</t>
        </is>
      </c>
      <c r="L78" s="11" t="n">
        <v>489.4782749999999</v>
      </c>
      <c r="M78" s="46" t="n">
        <v>0.3120669655869814</v>
      </c>
      <c r="N78" s="11" t="n">
        <v>-450</v>
      </c>
      <c r="O78" s="11" t="n">
        <v>450</v>
      </c>
    </row>
    <row r="79">
      <c r="A79" s="12" t="inlineStr">
        <is>
          <t>March</t>
        </is>
      </c>
      <c r="B79" s="12" t="inlineStr">
        <is>
          <t>$1,200-$1,799</t>
        </is>
      </c>
      <c r="C79" s="11" t="n">
        <v>7</v>
      </c>
      <c r="D79" s="11" t="n">
        <v>196</v>
      </c>
      <c r="E79" s="12" t="inlineStr">
        <is>
          <t>Under $1,200</t>
        </is>
      </c>
      <c r="F79" s="11" t="n">
        <v>4</v>
      </c>
      <c r="G79" s="11" t="n">
        <v>4.4</v>
      </c>
      <c r="H79" s="11" t="n">
        <v>105.6</v>
      </c>
      <c r="I79" s="11" t="n">
        <v>306</v>
      </c>
      <c r="J79" s="23" t="n">
        <v>0</v>
      </c>
      <c r="K79" s="33" t="inlineStr">
        <is>
          <t>n/n/n</t>
        </is>
      </c>
      <c r="L79" s="11" t="n">
        <v>787.9094684999999</v>
      </c>
      <c r="M79" s="46" t="n">
        <v>0.3883694919703837</v>
      </c>
      <c r="N79" s="11" t="n">
        <v>-710</v>
      </c>
      <c r="O79" s="11" t="n">
        <v>710</v>
      </c>
    </row>
    <row r="80">
      <c r="A80" s="12" t="inlineStr">
        <is>
          <t>April</t>
        </is>
      </c>
      <c r="B80" s="12" t="inlineStr">
        <is>
          <t>$1,200-$1,799</t>
        </is>
      </c>
      <c r="C80" s="11" t="n">
        <v>7</v>
      </c>
      <c r="D80" s="11" t="n">
        <v>115.5</v>
      </c>
      <c r="E80" s="12" t="inlineStr">
        <is>
          <t>Under $1,200</t>
        </is>
      </c>
      <c r="F80" s="11" t="n">
        <v>4</v>
      </c>
      <c r="G80" s="11" t="n">
        <v>0</v>
      </c>
      <c r="H80" s="11" t="n">
        <v>81.40000000000001</v>
      </c>
      <c r="I80" s="11" t="n">
        <v>196.9</v>
      </c>
      <c r="J80" s="23" t="n">
        <v>0</v>
      </c>
      <c r="K80" s="33" t="inlineStr">
        <is>
          <t>n/n/n</t>
        </is>
      </c>
      <c r="L80" s="11" t="n">
        <v>653.67225</v>
      </c>
      <c r="M80" s="46" t="n">
        <v>0.3012212924749368</v>
      </c>
      <c r="N80" s="11" t="n">
        <v>-470</v>
      </c>
      <c r="O80" s="11" t="n">
        <v>470</v>
      </c>
    </row>
    <row r="81">
      <c r="A81" s="26" t="inlineStr">
        <is>
          <t>4-Month Total</t>
        </is>
      </c>
      <c r="B81" s="35" t="n"/>
      <c r="C81" s="35" t="n"/>
      <c r="D81" s="35" t="n"/>
      <c r="E81" s="35" t="n"/>
      <c r="F81" s="35" t="n"/>
      <c r="G81" s="35" t="n"/>
      <c r="H81" s="35" t="n"/>
      <c r="I81" s="27" t="n">
        <v>931.75</v>
      </c>
      <c r="J81" s="27" t="n">
        <v>0</v>
      </c>
      <c r="K81" s="35" t="n"/>
      <c r="L81" s="35" t="n"/>
      <c r="M81" s="35" t="n"/>
      <c r="N81" s="27" t="n">
        <v>-2370</v>
      </c>
      <c r="O81" s="27" t="n">
        <v>2370</v>
      </c>
    </row>
    <row r="83">
      <c r="A83" s="47" t="inlineStr">
        <is>
          <t>PROPOSAL B - COVERAGE-BASED</t>
        </is>
      </c>
    </row>
    <row r="84">
      <c r="A84" s="6" t="inlineStr">
        <is>
          <t>Month</t>
        </is>
      </c>
      <c r="B84" s="6" t="inlineStr">
        <is>
          <t>NB Base ($10 x ct)</t>
        </is>
      </c>
      <c r="C84" s="6" t="inlineStr">
        <is>
          <t>NB Liab Add ($5 x 35%)</t>
        </is>
      </c>
      <c r="D84" s="6" t="inlineStr">
        <is>
          <t>NB Target (w/ kicker)</t>
        </is>
      </c>
      <c r="E84" s="6" t="inlineStr">
        <is>
          <t>REN Base ($6 x ct)</t>
        </is>
      </c>
      <c r="F84" s="6" t="inlineStr">
        <is>
          <t>REN Liab Add ($3 x 30%)</t>
        </is>
      </c>
      <c r="G84" s="6" t="inlineStr">
        <is>
          <t>REN Target (w/ kicker)</t>
        </is>
      </c>
      <c r="H84" s="6" t="inlineStr">
        <is>
          <t>RWR Target (w/ kicker)</t>
        </is>
      </c>
      <c r="I84" s="6" t="inlineStr">
        <is>
          <t>Total Target (no min)</t>
        </is>
      </c>
      <c r="J84" s="6" t="inlineStr">
        <is>
          <t>PAID after MIN</t>
        </is>
      </c>
      <c r="K84" s="6" t="inlineStr">
        <is>
          <t>Gates (NB/REN/RWR)</t>
        </is>
      </c>
      <c r="L84" s="6" t="inlineStr">
        <is>
          <t>Safe Net</t>
        </is>
      </c>
      <c r="M84" s="6" t="inlineStr">
        <is>
          <t>Bonus % SN</t>
        </is>
      </c>
      <c r="N84" s="6" t="inlineStr">
        <is>
          <t>vs Current</t>
        </is>
      </c>
      <c r="O84" s="6" t="inlineStr">
        <is>
          <t>Current Bonus</t>
        </is>
      </c>
    </row>
    <row r="85">
      <c r="A85" s="15" t="inlineStr">
        <is>
          <t>January</t>
        </is>
      </c>
      <c r="B85" s="14" t="n">
        <v>310</v>
      </c>
      <c r="C85" s="14" t="n">
        <v>54.25</v>
      </c>
      <c r="D85" s="14" t="n">
        <v>400.675</v>
      </c>
      <c r="E85" s="14" t="n">
        <v>0</v>
      </c>
      <c r="F85" s="14" t="n">
        <v>0</v>
      </c>
      <c r="G85" s="14" t="n">
        <v>0</v>
      </c>
      <c r="H85" s="14" t="n">
        <v>105.6</v>
      </c>
      <c r="I85" s="14" t="n">
        <v>506.275</v>
      </c>
      <c r="J85" s="24" t="n">
        <v>0</v>
      </c>
      <c r="K85" s="33" t="inlineStr">
        <is>
          <t>n/n/n</t>
        </is>
      </c>
      <c r="L85" s="14" t="n">
        <v>1064.4272595</v>
      </c>
      <c r="M85" s="48" t="n">
        <v>0.4756313740384813</v>
      </c>
      <c r="N85" s="14" t="n">
        <v>-740</v>
      </c>
      <c r="O85" s="14" t="n">
        <v>740</v>
      </c>
    </row>
    <row r="86">
      <c r="A86" s="15" t="inlineStr">
        <is>
          <t>February</t>
        </is>
      </c>
      <c r="B86" s="14" t="n">
        <v>130</v>
      </c>
      <c r="C86" s="14" t="n">
        <v>22.75</v>
      </c>
      <c r="D86" s="14" t="n">
        <v>175.6625</v>
      </c>
      <c r="E86" s="14" t="n">
        <v>6</v>
      </c>
      <c r="F86" s="14" t="n">
        <v>0.8999999999999999</v>
      </c>
      <c r="G86" s="14" t="n">
        <v>6.9</v>
      </c>
      <c r="H86" s="14" t="n">
        <v>74</v>
      </c>
      <c r="I86" s="14" t="n">
        <v>256.5625</v>
      </c>
      <c r="J86" s="24" t="n">
        <v>0</v>
      </c>
      <c r="K86" s="33" t="inlineStr">
        <is>
          <t>n/n/n</t>
        </is>
      </c>
      <c r="L86" s="14" t="n">
        <v>489.4782749999999</v>
      </c>
      <c r="M86" s="48" t="n">
        <v>0.5241550301696231</v>
      </c>
      <c r="N86" s="14" t="n">
        <v>-450</v>
      </c>
      <c r="O86" s="14" t="n">
        <v>450</v>
      </c>
    </row>
    <row r="87">
      <c r="A87" s="15" t="inlineStr">
        <is>
          <t>March</t>
        </is>
      </c>
      <c r="B87" s="14" t="n">
        <v>280</v>
      </c>
      <c r="C87" s="14" t="n">
        <v>48.99999999999999</v>
      </c>
      <c r="D87" s="14" t="n">
        <v>329</v>
      </c>
      <c r="E87" s="14" t="n">
        <v>6</v>
      </c>
      <c r="F87" s="14" t="n">
        <v>0.8999999999999999</v>
      </c>
      <c r="G87" s="14" t="n">
        <v>7.590000000000001</v>
      </c>
      <c r="H87" s="14" t="n">
        <v>105.6</v>
      </c>
      <c r="I87" s="14" t="n">
        <v>442.19</v>
      </c>
      <c r="J87" s="24" t="n">
        <v>0</v>
      </c>
      <c r="K87" s="33" t="inlineStr">
        <is>
          <t>n/n/n</t>
        </is>
      </c>
      <c r="L87" s="14" t="n">
        <v>787.9094684999999</v>
      </c>
      <c r="M87" s="48" t="n">
        <v>0.5612192995241306</v>
      </c>
      <c r="N87" s="14" t="n">
        <v>-710</v>
      </c>
      <c r="O87" s="14" t="n">
        <v>710</v>
      </c>
    </row>
    <row r="88">
      <c r="A88" s="15" t="inlineStr">
        <is>
          <t>April</t>
        </is>
      </c>
      <c r="B88" s="14" t="n">
        <v>150</v>
      </c>
      <c r="C88" s="14" t="n">
        <v>26.25</v>
      </c>
      <c r="D88" s="14" t="n">
        <v>193.875</v>
      </c>
      <c r="E88" s="14" t="n">
        <v>0</v>
      </c>
      <c r="F88" s="14" t="n">
        <v>0</v>
      </c>
      <c r="G88" s="14" t="n">
        <v>0</v>
      </c>
      <c r="H88" s="14" t="n">
        <v>81.40000000000001</v>
      </c>
      <c r="I88" s="14" t="n">
        <v>275.275</v>
      </c>
      <c r="J88" s="24" t="n">
        <v>0</v>
      </c>
      <c r="K88" s="33" t="inlineStr">
        <is>
          <t>n/n/n</t>
        </is>
      </c>
      <c r="L88" s="14" t="n">
        <v>653.67225</v>
      </c>
      <c r="M88" s="48" t="n">
        <v>0.4211208292840947</v>
      </c>
      <c r="N88" s="14" t="n">
        <v>-470</v>
      </c>
      <c r="O88" s="14" t="n">
        <v>470</v>
      </c>
    </row>
    <row r="89">
      <c r="A89" s="26" t="inlineStr">
        <is>
          <t>4-Month Total</t>
        </is>
      </c>
      <c r="B89" s="35" t="n"/>
      <c r="C89" s="35" t="n"/>
      <c r="D89" s="35" t="n"/>
      <c r="E89" s="35" t="n"/>
      <c r="F89" s="35" t="n"/>
      <c r="G89" s="35" t="n"/>
      <c r="H89" s="35" t="n"/>
      <c r="I89" s="27" t="n">
        <v>1480.3025</v>
      </c>
      <c r="J89" s="27" t="n">
        <v>0</v>
      </c>
      <c r="K89" s="35" t="n"/>
      <c r="L89" s="35" t="n"/>
      <c r="M89" s="35" t="n"/>
      <c r="N89" s="27" t="n">
        <v>-2370</v>
      </c>
      <c r="O89" s="27" t="n">
        <v>2370</v>
      </c>
    </row>
    <row r="91">
      <c r="A91" s="49" t="inlineStr">
        <is>
          <t>PROPOSAL C - PERSISTENCY (BONUS IDEA)</t>
        </is>
      </c>
    </row>
    <row r="92">
      <c r="A92" s="6" t="inlineStr">
        <is>
          <t>Month</t>
        </is>
      </c>
      <c r="B92" s="6" t="inlineStr">
        <is>
          <t>NB ($8 x ct)</t>
        </is>
      </c>
      <c r="C92" s="6" t="inlineStr">
        <is>
          <t>REN ($8 x ct)</t>
        </is>
      </c>
      <c r="D92" s="6" t="inlineStr">
        <is>
          <t>RWR ($1 x ct)</t>
        </is>
      </c>
      <c r="E92" s="6" t="inlineStr">
        <is>
          <t>NB Target</t>
        </is>
      </c>
      <c r="F92" s="6" t="inlineStr">
        <is>
          <t>REN Target</t>
        </is>
      </c>
      <c r="G92" s="6" t="inlineStr">
        <is>
          <t>RWR Target</t>
        </is>
      </c>
      <c r="H92" s="6" t="inlineStr">
        <is>
          <t>Total Target (no min)</t>
        </is>
      </c>
      <c r="I92" s="6" t="inlineStr">
        <is>
          <t>PAID after MIN</t>
        </is>
      </c>
      <c r="J92" s="6" t="inlineStr">
        <is>
          <t>Gates (NB/REN/RWR)</t>
        </is>
      </c>
      <c r="K92" s="6" t="inlineStr">
        <is>
          <t>Safe Net</t>
        </is>
      </c>
      <c r="L92" s="6" t="inlineStr">
        <is>
          <t>Bonus % SN</t>
        </is>
      </c>
      <c r="M92" s="6" t="inlineStr">
        <is>
          <t>vs Current</t>
        </is>
      </c>
      <c r="N92" s="6" t="inlineStr">
        <is>
          <t>Current Bonus</t>
        </is>
      </c>
    </row>
    <row r="93">
      <c r="A93" s="18" t="inlineStr">
        <is>
          <t>January</t>
        </is>
      </c>
      <c r="B93" s="17" t="n">
        <v>248</v>
      </c>
      <c r="C93" s="17" t="n">
        <v>0</v>
      </c>
      <c r="D93" s="17" t="n">
        <v>48</v>
      </c>
      <c r="E93" s="17" t="n">
        <v>272.8</v>
      </c>
      <c r="F93" s="17" t="n">
        <v>0</v>
      </c>
      <c r="G93" s="17" t="n">
        <v>52.8</v>
      </c>
      <c r="H93" s="17" t="n">
        <v>325.6</v>
      </c>
      <c r="I93" s="25" t="n">
        <v>0</v>
      </c>
      <c r="J93" s="33" t="inlineStr">
        <is>
          <t>n/n/n</t>
        </is>
      </c>
      <c r="K93" s="17" t="n">
        <v>1064.4272595</v>
      </c>
      <c r="L93" s="50" t="n">
        <v>0.3058922036184475</v>
      </c>
      <c r="M93" s="17" t="n">
        <v>-740</v>
      </c>
      <c r="N93" s="17" t="n">
        <v>740</v>
      </c>
    </row>
    <row r="94">
      <c r="A94" s="18" t="inlineStr">
        <is>
          <t>February</t>
        </is>
      </c>
      <c r="B94" s="17" t="n">
        <v>104</v>
      </c>
      <c r="C94" s="17" t="n">
        <v>8</v>
      </c>
      <c r="D94" s="17" t="n">
        <v>37</v>
      </c>
      <c r="E94" s="17" t="n">
        <v>119.6</v>
      </c>
      <c r="F94" s="17" t="n">
        <v>8</v>
      </c>
      <c r="G94" s="17" t="n">
        <v>37</v>
      </c>
      <c r="H94" s="17" t="n">
        <v>164.6</v>
      </c>
      <c r="I94" s="25" t="n">
        <v>0</v>
      </c>
      <c r="J94" s="33" t="inlineStr">
        <is>
          <t>n/n/n</t>
        </is>
      </c>
      <c r="K94" s="17" t="n">
        <v>489.4782749999999</v>
      </c>
      <c r="L94" s="50" t="n">
        <v>0.3362764159451204</v>
      </c>
      <c r="M94" s="17" t="n">
        <v>-450</v>
      </c>
      <c r="N94" s="17" t="n">
        <v>450</v>
      </c>
    </row>
    <row r="95">
      <c r="A95" s="18" t="inlineStr">
        <is>
          <t>March</t>
        </is>
      </c>
      <c r="B95" s="17" t="n">
        <v>224</v>
      </c>
      <c r="C95" s="17" t="n">
        <v>8</v>
      </c>
      <c r="D95" s="17" t="n">
        <v>48</v>
      </c>
      <c r="E95" s="17" t="n">
        <v>224</v>
      </c>
      <c r="F95" s="17" t="n">
        <v>8.800000000000001</v>
      </c>
      <c r="G95" s="17" t="n">
        <v>52.8</v>
      </c>
      <c r="H95" s="17" t="n">
        <v>285.6</v>
      </c>
      <c r="I95" s="25" t="n">
        <v>0</v>
      </c>
      <c r="J95" s="33" t="inlineStr">
        <is>
          <t>n/n/n</t>
        </is>
      </c>
      <c r="K95" s="17" t="n">
        <v>787.9094684999999</v>
      </c>
      <c r="L95" s="50" t="n">
        <v>0.3624781925056915</v>
      </c>
      <c r="M95" s="17" t="n">
        <v>-710</v>
      </c>
      <c r="N95" s="17" t="n">
        <v>710</v>
      </c>
    </row>
    <row r="96">
      <c r="A96" s="18" t="inlineStr">
        <is>
          <t>April</t>
        </is>
      </c>
      <c r="B96" s="17" t="n">
        <v>120</v>
      </c>
      <c r="C96" s="17" t="n">
        <v>0</v>
      </c>
      <c r="D96" s="17" t="n">
        <v>37</v>
      </c>
      <c r="E96" s="17" t="n">
        <v>132</v>
      </c>
      <c r="F96" s="17" t="n">
        <v>0</v>
      </c>
      <c r="G96" s="17" t="n">
        <v>40.7</v>
      </c>
      <c r="H96" s="17" t="n">
        <v>172.7</v>
      </c>
      <c r="I96" s="25" t="n">
        <v>0</v>
      </c>
      <c r="J96" s="33" t="inlineStr">
        <is>
          <t>n/n/n</t>
        </is>
      </c>
      <c r="K96" s="17" t="n">
        <v>653.67225</v>
      </c>
      <c r="L96" s="50" t="n">
        <v>0.2641996811093021</v>
      </c>
      <c r="M96" s="17" t="n">
        <v>-470</v>
      </c>
      <c r="N96" s="17" t="n">
        <v>470</v>
      </c>
    </row>
    <row r="97">
      <c r="A97" s="26" t="inlineStr">
        <is>
          <t>4-Month Total</t>
        </is>
      </c>
      <c r="B97" s="35" t="n"/>
      <c r="C97" s="35" t="n"/>
      <c r="D97" s="35" t="n"/>
      <c r="E97" s="35" t="n"/>
      <c r="F97" s="35" t="n"/>
      <c r="G97" s="35" t="n"/>
      <c r="H97" s="27" t="n">
        <v>948.5</v>
      </c>
      <c r="I97" s="27" t="n">
        <v>0</v>
      </c>
      <c r="J97" s="35" t="n"/>
      <c r="K97" s="35" t="n"/>
      <c r="L97" s="35" t="n"/>
      <c r="M97" s="27" t="n">
        <v>-2370</v>
      </c>
      <c r="N97" s="27" t="n">
        <v>2370</v>
      </c>
    </row>
    <row r="100" ht="22" customHeight="1">
      <c r="A100" s="5" t="inlineStr">
        <is>
          <t>Flavia Parra</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20" t="inlineStr">
        <is>
          <t>January</t>
        </is>
      </c>
      <c r="B102" s="21" t="n">
        <v>19</v>
      </c>
      <c r="C102" s="22" t="n">
        <v>28525.05</v>
      </c>
      <c r="D102" s="22" t="n">
        <v>5657.4</v>
      </c>
      <c r="E102" s="44" t="n">
        <v>0.1983309406994904</v>
      </c>
      <c r="F102" s="21" t="n">
        <v>35</v>
      </c>
      <c r="G102" s="22" t="n">
        <v>39558.05</v>
      </c>
      <c r="H102" s="22" t="n">
        <v>8795.290000000001</v>
      </c>
      <c r="I102" s="44" t="n">
        <v>0.2223388159932049</v>
      </c>
      <c r="J102" s="21" t="n">
        <v>1</v>
      </c>
      <c r="K102" s="22" t="n">
        <v>1464.35</v>
      </c>
      <c r="L102" s="22" t="n">
        <v>302.12</v>
      </c>
      <c r="M102" s="44" t="n">
        <v>0.2063167958479872</v>
      </c>
      <c r="N102" s="22" t="n">
        <v>1501.318421052631</v>
      </c>
      <c r="O102" s="22" t="n">
        <v>1464.35</v>
      </c>
      <c r="P102" s="22" t="n">
        <v>14754.81</v>
      </c>
      <c r="Q102" s="22" t="n">
        <v>803.3994045000001</v>
      </c>
      <c r="R102" s="22" t="n">
        <v>321.3597618000001</v>
      </c>
    </row>
    <row r="103">
      <c r="A103" s="20" t="inlineStr">
        <is>
          <t>February</t>
        </is>
      </c>
      <c r="B103" s="21" t="n">
        <v>23</v>
      </c>
      <c r="C103" s="22" t="n">
        <v>22247.7</v>
      </c>
      <c r="D103" s="22" t="n">
        <v>3832.59</v>
      </c>
      <c r="E103" s="44" t="n">
        <v>0.1722690435415796</v>
      </c>
      <c r="F103" s="21" t="n">
        <v>42</v>
      </c>
      <c r="G103" s="22" t="n">
        <v>43687.45</v>
      </c>
      <c r="H103" s="22" t="n">
        <v>13820.09</v>
      </c>
      <c r="I103" s="44" t="n">
        <v>0.3163400473133589</v>
      </c>
      <c r="J103" s="21" t="n">
        <v>2</v>
      </c>
      <c r="K103" s="22" t="n">
        <v>2099</v>
      </c>
      <c r="L103" s="22" t="n">
        <v>321.01</v>
      </c>
      <c r="M103" s="44" t="n">
        <v>0.152934730824202</v>
      </c>
      <c r="N103" s="22" t="n">
        <v>967.2913043478261</v>
      </c>
      <c r="O103" s="22" t="n">
        <v>1049.5</v>
      </c>
      <c r="P103" s="22" t="n">
        <v>17973.69</v>
      </c>
      <c r="Q103" s="22" t="n">
        <v>978.6674204999997</v>
      </c>
      <c r="R103" s="22" t="n">
        <v>391.4669681999999</v>
      </c>
    </row>
    <row r="104">
      <c r="A104" s="20" t="inlineStr">
        <is>
          <t>March</t>
        </is>
      </c>
      <c r="B104" s="21" t="n">
        <v>27</v>
      </c>
      <c r="C104" s="22" t="n">
        <v>31269</v>
      </c>
      <c r="D104" s="22" t="n">
        <v>8642.02</v>
      </c>
      <c r="E104" s="44" t="n">
        <v>0.2763766030253606</v>
      </c>
      <c r="F104" s="21" t="n">
        <v>27</v>
      </c>
      <c r="G104" s="22" t="n">
        <v>23526.7</v>
      </c>
      <c r="H104" s="22" t="n">
        <v>9060.629999999999</v>
      </c>
      <c r="I104" s="44" t="n">
        <v>0.3851211602137146</v>
      </c>
      <c r="J104" s="21" t="n">
        <v>0</v>
      </c>
      <c r="K104" s="22" t="n">
        <v>0</v>
      </c>
      <c r="L104" s="22" t="n">
        <v>0</v>
      </c>
      <c r="M104" s="44" t="n">
        <v>0</v>
      </c>
      <c r="N104" s="22" t="n">
        <v>1158.111111111111</v>
      </c>
      <c r="O104" s="22" t="n">
        <v>0</v>
      </c>
      <c r="P104" s="22" t="n">
        <v>17702.65</v>
      </c>
      <c r="Q104" s="22" t="n">
        <v>963.9092925</v>
      </c>
      <c r="R104" s="22" t="n">
        <v>385.563717</v>
      </c>
    </row>
    <row r="105">
      <c r="A105" s="20" t="inlineStr">
        <is>
          <t>April</t>
        </is>
      </c>
      <c r="B105" s="21" t="n">
        <v>23</v>
      </c>
      <c r="C105" s="22" t="n">
        <v>29581.05</v>
      </c>
      <c r="D105" s="22" t="n">
        <v>6600.51</v>
      </c>
      <c r="E105" s="44" t="n">
        <v>0.2231330530863509</v>
      </c>
      <c r="F105" s="21" t="n">
        <v>31</v>
      </c>
      <c r="G105" s="22" t="n">
        <v>30832.76</v>
      </c>
      <c r="H105" s="22" t="n">
        <v>7710.62</v>
      </c>
      <c r="I105" s="44" t="n">
        <v>0.2500788122762931</v>
      </c>
      <c r="J105" s="21" t="n">
        <v>1</v>
      </c>
      <c r="K105" s="22" t="n">
        <v>885</v>
      </c>
      <c r="L105" s="22" t="n">
        <v>885</v>
      </c>
      <c r="M105" s="44" t="n">
        <v>1</v>
      </c>
      <c r="N105" s="22" t="n">
        <v>1286.132608695652</v>
      </c>
      <c r="O105" s="22" t="n">
        <v>885</v>
      </c>
      <c r="P105" s="22" t="n">
        <v>15196.13</v>
      </c>
      <c r="Q105" s="22" t="n">
        <v>827.4292785</v>
      </c>
      <c r="R105" s="22" t="n">
        <v>330.9717114</v>
      </c>
    </row>
    <row r="107">
      <c r="A107" s="45" t="inlineStr">
        <is>
          <t>PROPOSAL A - PREMIUM-BASED</t>
        </is>
      </c>
    </row>
    <row r="108">
      <c r="A108" s="6" t="inlineStr">
        <is>
          <t>Month</t>
        </is>
      </c>
      <c r="B108" s="6" t="inlineStr">
        <is>
          <t>NB Tier</t>
        </is>
      </c>
      <c r="C108" s="6" t="inlineStr">
        <is>
          <t>NB Per-Policy $</t>
        </is>
      </c>
      <c r="D108" s="6" t="inlineStr">
        <is>
          <t>NB Target (w/ kicker)</t>
        </is>
      </c>
      <c r="E108" s="6" t="inlineStr">
        <is>
          <t>REN Tier</t>
        </is>
      </c>
      <c r="F108" s="6" t="inlineStr">
        <is>
          <t>REN Per-Policy $</t>
        </is>
      </c>
      <c r="G108" s="6" t="inlineStr">
        <is>
          <t>REN Target (w/ kicker)</t>
        </is>
      </c>
      <c r="H108" s="6" t="inlineStr">
        <is>
          <t>RWR Target (w/ kicker)</t>
        </is>
      </c>
      <c r="I108" s="6" t="inlineStr">
        <is>
          <t>Total Target (no min)</t>
        </is>
      </c>
      <c r="J108" s="6" t="inlineStr">
        <is>
          <t>PAID after MIN</t>
        </is>
      </c>
      <c r="K108" s="6" t="inlineStr">
        <is>
          <t>Gates (NB/REN/RWR)</t>
        </is>
      </c>
      <c r="L108" s="6" t="inlineStr">
        <is>
          <t>Safe Net</t>
        </is>
      </c>
      <c r="M108" s="6" t="inlineStr">
        <is>
          <t>Bonus % SN</t>
        </is>
      </c>
      <c r="N108" s="6" t="inlineStr">
        <is>
          <t>vs Current</t>
        </is>
      </c>
      <c r="O108" s="6" t="inlineStr">
        <is>
          <t>Current Bonus</t>
        </is>
      </c>
    </row>
    <row r="109">
      <c r="A109" s="12" t="inlineStr">
        <is>
          <t>January</t>
        </is>
      </c>
      <c r="B109" s="12" t="inlineStr">
        <is>
          <t>$1,200-$1,799</t>
        </is>
      </c>
      <c r="C109" s="11" t="n">
        <v>7</v>
      </c>
      <c r="D109" s="11" t="n">
        <v>146.3</v>
      </c>
      <c r="E109" s="12" t="inlineStr">
        <is>
          <t>$1,200-$1,799</t>
        </is>
      </c>
      <c r="F109" s="11" t="n">
        <v>5</v>
      </c>
      <c r="G109" s="11" t="n">
        <v>5.5</v>
      </c>
      <c r="H109" s="11" t="n">
        <v>77</v>
      </c>
      <c r="I109" s="11" t="n">
        <v>228.8</v>
      </c>
      <c r="J109" s="23" t="n">
        <v>0</v>
      </c>
      <c r="K109" s="33" t="inlineStr">
        <is>
          <t>n/n/n</t>
        </is>
      </c>
      <c r="L109" s="11" t="n">
        <v>803.3994045000001</v>
      </c>
      <c r="M109" s="46" t="n">
        <v>0.2847898551062468</v>
      </c>
      <c r="N109" s="11" t="n">
        <v>-490</v>
      </c>
      <c r="O109" s="11" t="n">
        <v>490</v>
      </c>
    </row>
    <row r="110">
      <c r="A110" s="12" t="inlineStr">
        <is>
          <t>February</t>
        </is>
      </c>
      <c r="B110" s="12" t="inlineStr">
        <is>
          <t>Under $1,200</t>
        </is>
      </c>
      <c r="C110" s="11" t="n">
        <v>5</v>
      </c>
      <c r="D110" s="11" t="n">
        <v>126.5</v>
      </c>
      <c r="E110" s="12" t="inlineStr">
        <is>
          <t>Under $1,200</t>
        </is>
      </c>
      <c r="F110" s="11" t="n">
        <v>4</v>
      </c>
      <c r="G110" s="11" t="n">
        <v>8.800000000000001</v>
      </c>
      <c r="H110" s="11" t="n">
        <v>96.59999999999999</v>
      </c>
      <c r="I110" s="11" t="n">
        <v>231.9</v>
      </c>
      <c r="J110" s="23" t="n">
        <v>0</v>
      </c>
      <c r="K110" s="33" t="inlineStr">
        <is>
          <t>n/n/n</t>
        </is>
      </c>
      <c r="L110" s="11" t="n">
        <v>978.6674204999997</v>
      </c>
      <c r="M110" s="46" t="n">
        <v>0.2369548583537425</v>
      </c>
      <c r="N110" s="11" t="n">
        <v>-600</v>
      </c>
      <c r="O110" s="11" t="n">
        <v>600</v>
      </c>
    </row>
    <row r="111">
      <c r="A111" s="12" t="inlineStr">
        <is>
          <t>March</t>
        </is>
      </c>
      <c r="B111" s="12" t="inlineStr">
        <is>
          <t>Under $1,200</t>
        </is>
      </c>
      <c r="C111" s="11" t="n">
        <v>5</v>
      </c>
      <c r="D111" s="11" t="n">
        <v>155.25</v>
      </c>
      <c r="E111" s="12" t="inlineStr">
        <is>
          <t>Under $1,200</t>
        </is>
      </c>
      <c r="F111" s="11" t="n">
        <v>4</v>
      </c>
      <c r="G111" s="11" t="n">
        <v>0</v>
      </c>
      <c r="H111" s="11" t="n">
        <v>62.09999999999999</v>
      </c>
      <c r="I111" s="11" t="n">
        <v>217.35</v>
      </c>
      <c r="J111" s="23" t="n">
        <v>0</v>
      </c>
      <c r="K111" s="33" t="inlineStr">
        <is>
          <t>n/n/n</t>
        </is>
      </c>
      <c r="L111" s="11" t="n">
        <v>963.9092925</v>
      </c>
      <c r="M111" s="46" t="n">
        <v>0.2254880222559946</v>
      </c>
      <c r="N111" s="11" t="n">
        <v>-490</v>
      </c>
      <c r="O111" s="11" t="n">
        <v>490</v>
      </c>
    </row>
    <row r="112">
      <c r="A112" s="12" t="inlineStr">
        <is>
          <t>April</t>
        </is>
      </c>
      <c r="B112" s="12" t="inlineStr">
        <is>
          <t>$1,200-$1,799</t>
        </is>
      </c>
      <c r="C112" s="11" t="n">
        <v>7</v>
      </c>
      <c r="D112" s="11" t="n">
        <v>177.1</v>
      </c>
      <c r="E112" s="12" t="inlineStr">
        <is>
          <t>Under $1,200</t>
        </is>
      </c>
      <c r="F112" s="11" t="n">
        <v>4</v>
      </c>
      <c r="G112" s="11" t="n">
        <v>5</v>
      </c>
      <c r="H112" s="11" t="n">
        <v>71.3</v>
      </c>
      <c r="I112" s="11" t="n">
        <v>253.4</v>
      </c>
      <c r="J112" s="23" t="n">
        <v>0</v>
      </c>
      <c r="K112" s="33" t="inlineStr">
        <is>
          <t>n/n/n</t>
        </is>
      </c>
      <c r="L112" s="11" t="n">
        <v>827.4292785</v>
      </c>
      <c r="M112" s="46" t="n">
        <v>0.3062497382971203</v>
      </c>
      <c r="N112" s="11" t="n">
        <v>-490</v>
      </c>
      <c r="O112" s="11" t="n">
        <v>490</v>
      </c>
    </row>
    <row r="113">
      <c r="A113" s="26" t="inlineStr">
        <is>
          <t>4-Month Total</t>
        </is>
      </c>
      <c r="B113" s="35" t="n"/>
      <c r="C113" s="35" t="n"/>
      <c r="D113" s="35" t="n"/>
      <c r="E113" s="35" t="n"/>
      <c r="F113" s="35" t="n"/>
      <c r="G113" s="35" t="n"/>
      <c r="H113" s="35" t="n"/>
      <c r="I113" s="27" t="n">
        <v>931.45</v>
      </c>
      <c r="J113" s="27" t="n">
        <v>0</v>
      </c>
      <c r="K113" s="35" t="n"/>
      <c r="L113" s="35" t="n"/>
      <c r="M113" s="35" t="n"/>
      <c r="N113" s="27" t="n">
        <v>-2070</v>
      </c>
      <c r="O113" s="27" t="n">
        <v>2070</v>
      </c>
    </row>
    <row r="115">
      <c r="A115" s="47"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15" t="inlineStr">
        <is>
          <t>January</t>
        </is>
      </c>
      <c r="B117" s="14" t="n">
        <v>190</v>
      </c>
      <c r="C117" s="14" t="n">
        <v>33.25</v>
      </c>
      <c r="D117" s="14" t="n">
        <v>245.575</v>
      </c>
      <c r="E117" s="14" t="n">
        <v>6</v>
      </c>
      <c r="F117" s="14" t="n">
        <v>0.8999999999999999</v>
      </c>
      <c r="G117" s="14" t="n">
        <v>7.590000000000001</v>
      </c>
      <c r="H117" s="14" t="n">
        <v>77</v>
      </c>
      <c r="I117" s="14" t="n">
        <v>330.165</v>
      </c>
      <c r="J117" s="24" t="n">
        <v>0</v>
      </c>
      <c r="K117" s="33" t="inlineStr">
        <is>
          <t>n/n/n</t>
        </is>
      </c>
      <c r="L117" s="14" t="n">
        <v>803.3994045000001</v>
      </c>
      <c r="M117" s="48" t="n">
        <v>0.4109599760102884</v>
      </c>
      <c r="N117" s="14" t="n">
        <v>-490</v>
      </c>
      <c r="O117" s="14" t="n">
        <v>490</v>
      </c>
    </row>
    <row r="118">
      <c r="A118" s="15" t="inlineStr">
        <is>
          <t>February</t>
        </is>
      </c>
      <c r="B118" s="14" t="n">
        <v>230</v>
      </c>
      <c r="C118" s="14" t="n">
        <v>40.24999999999999</v>
      </c>
      <c r="D118" s="14" t="n">
        <v>297.275</v>
      </c>
      <c r="E118" s="14" t="n">
        <v>12</v>
      </c>
      <c r="F118" s="14" t="n">
        <v>1.8</v>
      </c>
      <c r="G118" s="14" t="n">
        <v>15.18</v>
      </c>
      <c r="H118" s="14" t="n">
        <v>96.59999999999999</v>
      </c>
      <c r="I118" s="14" t="n">
        <v>409.0550000000001</v>
      </c>
      <c r="J118" s="24" t="n">
        <v>0</v>
      </c>
      <c r="K118" s="33" t="inlineStr">
        <is>
          <t>n/n/n</t>
        </is>
      </c>
      <c r="L118" s="14" t="n">
        <v>978.6674204999997</v>
      </c>
      <c r="M118" s="48" t="n">
        <v>0.4179714082962059</v>
      </c>
      <c r="N118" s="14" t="n">
        <v>-600</v>
      </c>
      <c r="O118" s="14" t="n">
        <v>600</v>
      </c>
    </row>
    <row r="119">
      <c r="A119" s="15" t="inlineStr">
        <is>
          <t>March</t>
        </is>
      </c>
      <c r="B119" s="14" t="n">
        <v>270</v>
      </c>
      <c r="C119" s="14" t="n">
        <v>47.25</v>
      </c>
      <c r="D119" s="14" t="n">
        <v>364.8375</v>
      </c>
      <c r="E119" s="14" t="n">
        <v>0</v>
      </c>
      <c r="F119" s="14" t="n">
        <v>0</v>
      </c>
      <c r="G119" s="14" t="n">
        <v>0</v>
      </c>
      <c r="H119" s="14" t="n">
        <v>62.09999999999999</v>
      </c>
      <c r="I119" s="14" t="n">
        <v>426.9375</v>
      </c>
      <c r="J119" s="24" t="n">
        <v>0</v>
      </c>
      <c r="K119" s="33" t="inlineStr">
        <is>
          <t>n/n/n</t>
        </is>
      </c>
      <c r="L119" s="14" t="n">
        <v>963.9092925</v>
      </c>
      <c r="M119" s="48" t="n">
        <v>0.4429229008599894</v>
      </c>
      <c r="N119" s="14" t="n">
        <v>-490</v>
      </c>
      <c r="O119" s="14" t="n">
        <v>490</v>
      </c>
    </row>
    <row r="120">
      <c r="A120" s="15" t="inlineStr">
        <is>
          <t>April</t>
        </is>
      </c>
      <c r="B120" s="14" t="n">
        <v>230</v>
      </c>
      <c r="C120" s="14" t="n">
        <v>40.24999999999999</v>
      </c>
      <c r="D120" s="14" t="n">
        <v>297.275</v>
      </c>
      <c r="E120" s="14" t="n">
        <v>6</v>
      </c>
      <c r="F120" s="14" t="n">
        <v>0.8999999999999999</v>
      </c>
      <c r="G120" s="14" t="n">
        <v>8.625</v>
      </c>
      <c r="H120" s="14" t="n">
        <v>71.3</v>
      </c>
      <c r="I120" s="14" t="n">
        <v>377.2</v>
      </c>
      <c r="J120" s="24" t="n">
        <v>0</v>
      </c>
      <c r="K120" s="33" t="inlineStr">
        <is>
          <t>n/n/n</t>
        </is>
      </c>
      <c r="L120" s="14" t="n">
        <v>827.4292785</v>
      </c>
      <c r="M120" s="48" t="n">
        <v>0.4558697761865578</v>
      </c>
      <c r="N120" s="14" t="n">
        <v>-490</v>
      </c>
      <c r="O120" s="14" t="n">
        <v>490</v>
      </c>
    </row>
    <row r="121">
      <c r="A121" s="26" t="inlineStr">
        <is>
          <t>4-Month Total</t>
        </is>
      </c>
      <c r="B121" s="35" t="n"/>
      <c r="C121" s="35" t="n"/>
      <c r="D121" s="35" t="n"/>
      <c r="E121" s="35" t="n"/>
      <c r="F121" s="35" t="n"/>
      <c r="G121" s="35" t="n"/>
      <c r="H121" s="35" t="n"/>
      <c r="I121" s="27" t="n">
        <v>1543.3575</v>
      </c>
      <c r="J121" s="27" t="n">
        <v>0</v>
      </c>
      <c r="K121" s="35" t="n"/>
      <c r="L121" s="35" t="n"/>
      <c r="M121" s="35" t="n"/>
      <c r="N121" s="27" t="n">
        <v>-2070</v>
      </c>
      <c r="O121" s="27" t="n">
        <v>2070</v>
      </c>
    </row>
    <row r="123">
      <c r="A123" s="49" t="inlineStr">
        <is>
          <t>PROPOSAL C - PERSISTENCY (BONUS IDEA)</t>
        </is>
      </c>
    </row>
    <row r="124">
      <c r="A124" s="6" t="inlineStr">
        <is>
          <t>Month</t>
        </is>
      </c>
      <c r="B124" s="6" t="inlineStr">
        <is>
          <t>NB ($8 x ct)</t>
        </is>
      </c>
      <c r="C124" s="6" t="inlineStr">
        <is>
          <t>REN ($8 x ct)</t>
        </is>
      </c>
      <c r="D124" s="6" t="inlineStr">
        <is>
          <t>RWR ($1 x ct)</t>
        </is>
      </c>
      <c r="E124" s="6" t="inlineStr">
        <is>
          <t>NB Target</t>
        </is>
      </c>
      <c r="F124" s="6" t="inlineStr">
        <is>
          <t>REN Target</t>
        </is>
      </c>
      <c r="G124" s="6" t="inlineStr">
        <is>
          <t>RWR Target</t>
        </is>
      </c>
      <c r="H124" s="6" t="inlineStr">
        <is>
          <t>Total Target (no min)</t>
        </is>
      </c>
      <c r="I124" s="6" t="inlineStr">
        <is>
          <t>PAID after MIN</t>
        </is>
      </c>
      <c r="J124" s="6" t="inlineStr">
        <is>
          <t>Gates (NB/REN/RWR)</t>
        </is>
      </c>
      <c r="K124" s="6" t="inlineStr">
        <is>
          <t>Safe Net</t>
        </is>
      </c>
      <c r="L124" s="6" t="inlineStr">
        <is>
          <t>Bonus % SN</t>
        </is>
      </c>
      <c r="M124" s="6" t="inlineStr">
        <is>
          <t>vs Current</t>
        </is>
      </c>
      <c r="N124" s="6" t="inlineStr">
        <is>
          <t>Current Bonus</t>
        </is>
      </c>
    </row>
    <row r="125">
      <c r="A125" s="18" t="inlineStr">
        <is>
          <t>January</t>
        </is>
      </c>
      <c r="B125" s="17" t="n">
        <v>152</v>
      </c>
      <c r="C125" s="17" t="n">
        <v>8</v>
      </c>
      <c r="D125" s="17" t="n">
        <v>35</v>
      </c>
      <c r="E125" s="17" t="n">
        <v>167.2</v>
      </c>
      <c r="F125" s="17" t="n">
        <v>8.800000000000001</v>
      </c>
      <c r="G125" s="17" t="n">
        <v>38.5</v>
      </c>
      <c r="H125" s="17" t="n">
        <v>214.5</v>
      </c>
      <c r="I125" s="25" t="n">
        <v>0</v>
      </c>
      <c r="J125" s="33" t="inlineStr">
        <is>
          <t>n/n/n</t>
        </is>
      </c>
      <c r="K125" s="17" t="n">
        <v>803.3994045000001</v>
      </c>
      <c r="L125" s="50" t="n">
        <v>0.2669904891621064</v>
      </c>
      <c r="M125" s="17" t="n">
        <v>-490</v>
      </c>
      <c r="N125" s="17" t="n">
        <v>490</v>
      </c>
    </row>
    <row r="126">
      <c r="A126" s="18" t="inlineStr">
        <is>
          <t>February</t>
        </is>
      </c>
      <c r="B126" s="17" t="n">
        <v>184</v>
      </c>
      <c r="C126" s="17" t="n">
        <v>16</v>
      </c>
      <c r="D126" s="17" t="n">
        <v>42</v>
      </c>
      <c r="E126" s="17" t="n">
        <v>202.4</v>
      </c>
      <c r="F126" s="17" t="n">
        <v>17.6</v>
      </c>
      <c r="G126" s="17" t="n">
        <v>48.3</v>
      </c>
      <c r="H126" s="17" t="n">
        <v>268.3</v>
      </c>
      <c r="I126" s="25" t="n">
        <v>0</v>
      </c>
      <c r="J126" s="33" t="inlineStr">
        <is>
          <t>n/n/n</t>
        </is>
      </c>
      <c r="K126" s="17" t="n">
        <v>978.6674204999997</v>
      </c>
      <c r="L126" s="50" t="n">
        <v>0.2741482901953822</v>
      </c>
      <c r="M126" s="17" t="n">
        <v>-600</v>
      </c>
      <c r="N126" s="17" t="n">
        <v>600</v>
      </c>
    </row>
    <row r="127">
      <c r="A127" s="18" t="inlineStr">
        <is>
          <t>March</t>
        </is>
      </c>
      <c r="B127" s="17" t="n">
        <v>216</v>
      </c>
      <c r="C127" s="17" t="n">
        <v>0</v>
      </c>
      <c r="D127" s="17" t="n">
        <v>27</v>
      </c>
      <c r="E127" s="17" t="n">
        <v>248.4</v>
      </c>
      <c r="F127" s="17" t="n">
        <v>0</v>
      </c>
      <c r="G127" s="17" t="n">
        <v>31.05</v>
      </c>
      <c r="H127" s="17" t="n">
        <v>279.45</v>
      </c>
      <c r="I127" s="25" t="n">
        <v>0</v>
      </c>
      <c r="J127" s="33" t="inlineStr">
        <is>
          <t>n/n/n</t>
        </is>
      </c>
      <c r="K127" s="17" t="n">
        <v>963.9092925</v>
      </c>
      <c r="L127" s="50" t="n">
        <v>0.289913171471993</v>
      </c>
      <c r="M127" s="17" t="n">
        <v>-490</v>
      </c>
      <c r="N127" s="17" t="n">
        <v>490</v>
      </c>
    </row>
    <row r="128">
      <c r="A128" s="18" t="inlineStr">
        <is>
          <t>April</t>
        </is>
      </c>
      <c r="B128" s="17" t="n">
        <v>184</v>
      </c>
      <c r="C128" s="17" t="n">
        <v>8</v>
      </c>
      <c r="D128" s="17" t="n">
        <v>31</v>
      </c>
      <c r="E128" s="17" t="n">
        <v>202.4</v>
      </c>
      <c r="F128" s="17" t="n">
        <v>10</v>
      </c>
      <c r="G128" s="17" t="n">
        <v>35.65</v>
      </c>
      <c r="H128" s="17" t="n">
        <v>248.05</v>
      </c>
      <c r="I128" s="25" t="n">
        <v>0</v>
      </c>
      <c r="J128" s="33" t="inlineStr">
        <is>
          <t>n/n/n</t>
        </is>
      </c>
      <c r="K128" s="17" t="n">
        <v>827.4292785</v>
      </c>
      <c r="L128" s="50" t="n">
        <v>0.2997839289052907</v>
      </c>
      <c r="M128" s="17" t="n">
        <v>-490</v>
      </c>
      <c r="N128" s="17" t="n">
        <v>490</v>
      </c>
    </row>
    <row r="129">
      <c r="A129" s="26" t="inlineStr">
        <is>
          <t>4-Month Total</t>
        </is>
      </c>
      <c r="B129" s="35" t="n"/>
      <c r="C129" s="35" t="n"/>
      <c r="D129" s="35" t="n"/>
      <c r="E129" s="35" t="n"/>
      <c r="F129" s="35" t="n"/>
      <c r="G129" s="35" t="n"/>
      <c r="H129" s="27" t="n">
        <v>1010.3</v>
      </c>
      <c r="I129" s="27" t="n">
        <v>0</v>
      </c>
      <c r="J129" s="35" t="n"/>
      <c r="K129" s="35" t="n"/>
      <c r="L129" s="35" t="n"/>
      <c r="M129" s="27" t="n">
        <v>-2070</v>
      </c>
      <c r="N129" s="27" t="n">
        <v>2070</v>
      </c>
    </row>
    <row r="132" ht="22" customHeight="1">
      <c r="A132" s="5" t="inlineStr">
        <is>
          <t>Thalia Rojas</t>
        </is>
      </c>
    </row>
    <row r="133">
      <c r="A133" s="6" t="inlineStr">
        <is>
          <t>Month</t>
        </is>
      </c>
      <c r="B133" s="6" t="inlineStr">
        <is>
          <t>NB Count</t>
        </is>
      </c>
      <c r="C133" s="6" t="inlineStr">
        <is>
          <t>NB Premium</t>
        </is>
      </c>
      <c r="D133" s="6" t="inlineStr">
        <is>
          <t>NB Collected</t>
        </is>
      </c>
      <c r="E133" s="6" t="inlineStr">
        <is>
          <t>NB Coll %</t>
        </is>
      </c>
      <c r="F133" s="6" t="inlineStr">
        <is>
          <t>RWR Count</t>
        </is>
      </c>
      <c r="G133" s="6" t="inlineStr">
        <is>
          <t>RWR Premium</t>
        </is>
      </c>
      <c r="H133" s="6" t="inlineStr">
        <is>
          <t>RWR Collected</t>
        </is>
      </c>
      <c r="I133" s="6" t="inlineStr">
        <is>
          <t>RWR Coll %</t>
        </is>
      </c>
      <c r="J133" s="6" t="inlineStr">
        <is>
          <t>REN Count</t>
        </is>
      </c>
      <c r="K133" s="6" t="inlineStr">
        <is>
          <t>REN Premium</t>
        </is>
      </c>
      <c r="L133" s="6" t="inlineStr">
        <is>
          <t>REN Collected</t>
        </is>
      </c>
      <c r="M133" s="6" t="inlineStr">
        <is>
          <t>REN Coll %</t>
        </is>
      </c>
      <c r="N133" s="6" t="inlineStr">
        <is>
          <t>Avg NB Prem</t>
        </is>
      </c>
      <c r="O133" s="6" t="inlineStr">
        <is>
          <t>Avg REN Prem</t>
        </is>
      </c>
      <c r="P133" s="6" t="inlineStr">
        <is>
          <t>Total Collected</t>
        </is>
      </c>
      <c r="Q133" s="6" t="inlineStr">
        <is>
          <t>Safe Net</t>
        </is>
      </c>
      <c r="R133" s="6" t="inlineStr">
        <is>
          <t>Cap</t>
        </is>
      </c>
    </row>
    <row r="134">
      <c r="A134" s="20" t="inlineStr">
        <is>
          <t>January</t>
        </is>
      </c>
      <c r="B134" s="21" t="n">
        <v>10</v>
      </c>
      <c r="C134" s="22" t="n">
        <v>15503.9</v>
      </c>
      <c r="D134" s="22" t="n">
        <v>2238.28</v>
      </c>
      <c r="E134" s="44" t="n">
        <v>0.1443688362283039</v>
      </c>
      <c r="F134" s="21" t="n">
        <v>28</v>
      </c>
      <c r="G134" s="22" t="n">
        <v>33083.93</v>
      </c>
      <c r="H134" s="22" t="n">
        <v>6461.48</v>
      </c>
      <c r="I134" s="44" t="n">
        <v>0.1953056967536807</v>
      </c>
      <c r="J134" s="21" t="n">
        <v>4</v>
      </c>
      <c r="K134" s="22" t="n">
        <v>3690</v>
      </c>
      <c r="L134" s="22" t="n">
        <v>642.04</v>
      </c>
      <c r="M134" s="44" t="n">
        <v>0.1739945799457994</v>
      </c>
      <c r="N134" s="22" t="n">
        <v>1550.39</v>
      </c>
      <c r="O134" s="22" t="n">
        <v>922.5</v>
      </c>
      <c r="P134" s="22" t="n">
        <v>9341.799999999999</v>
      </c>
      <c r="Q134" s="22" t="n">
        <v>508.6610099999999</v>
      </c>
      <c r="R134" s="22" t="n">
        <v>203.464404</v>
      </c>
    </row>
    <row r="135">
      <c r="A135" s="20" t="inlineStr">
        <is>
          <t>February</t>
        </is>
      </c>
      <c r="B135" s="21" t="n">
        <v>14</v>
      </c>
      <c r="C135" s="22" t="n">
        <v>19414.25</v>
      </c>
      <c r="D135" s="22" t="n">
        <v>3640.91</v>
      </c>
      <c r="E135" s="44" t="n">
        <v>0.1875380197535315</v>
      </c>
      <c r="F135" s="21" t="n">
        <v>24</v>
      </c>
      <c r="G135" s="22" t="n">
        <v>28298.16</v>
      </c>
      <c r="H135" s="22" t="n">
        <v>5276.12</v>
      </c>
      <c r="I135" s="44" t="n">
        <v>0.186447458067945</v>
      </c>
      <c r="J135" s="21" t="n">
        <v>5</v>
      </c>
      <c r="K135" s="22" t="n">
        <v>7446</v>
      </c>
      <c r="L135" s="22" t="n">
        <v>3293.14</v>
      </c>
      <c r="M135" s="44" t="n">
        <v>0.442269674993285</v>
      </c>
      <c r="N135" s="22" t="n">
        <v>1386.732142857143</v>
      </c>
      <c r="O135" s="22" t="n">
        <v>1489.2</v>
      </c>
      <c r="P135" s="22" t="n">
        <v>12210.17</v>
      </c>
      <c r="Q135" s="22" t="n">
        <v>664.8437564999998</v>
      </c>
      <c r="R135" s="22" t="n">
        <v>265.9375026</v>
      </c>
    </row>
    <row r="136">
      <c r="A136" s="20" t="inlineStr">
        <is>
          <t>March</t>
        </is>
      </c>
      <c r="B136" s="21" t="n">
        <v>19</v>
      </c>
      <c r="C136" s="22" t="n">
        <v>17843.69</v>
      </c>
      <c r="D136" s="22" t="n">
        <v>4965.76</v>
      </c>
      <c r="E136" s="44" t="n">
        <v>0.2782922142225067</v>
      </c>
      <c r="F136" s="21" t="n">
        <v>19</v>
      </c>
      <c r="G136" s="22" t="n">
        <v>19840.85</v>
      </c>
      <c r="H136" s="22" t="n">
        <v>3981.64</v>
      </c>
      <c r="I136" s="44" t="n">
        <v>0.2006789023655741</v>
      </c>
      <c r="J136" s="21" t="n">
        <v>6</v>
      </c>
      <c r="K136" s="22" t="n">
        <v>5643.9</v>
      </c>
      <c r="L136" s="22" t="n">
        <v>1575.86</v>
      </c>
      <c r="M136" s="44" t="n">
        <v>0.2792147274048087</v>
      </c>
      <c r="N136" s="22" t="n">
        <v>939.1415789473683</v>
      </c>
      <c r="O136" s="22" t="n">
        <v>940.65</v>
      </c>
      <c r="P136" s="22" t="n">
        <v>10523.26</v>
      </c>
      <c r="Q136" s="22" t="n">
        <v>572.991507</v>
      </c>
      <c r="R136" s="22" t="n">
        <v>229.1966028</v>
      </c>
    </row>
    <row r="137">
      <c r="A137" s="20" t="inlineStr">
        <is>
          <t>April</t>
        </is>
      </c>
      <c r="B137" s="21" t="n">
        <v>9</v>
      </c>
      <c r="C137" s="22" t="n">
        <v>14099</v>
      </c>
      <c r="D137" s="22" t="n">
        <v>3941.94</v>
      </c>
      <c r="E137" s="44" t="n">
        <v>0.2795900418469395</v>
      </c>
      <c r="F137" s="21" t="n">
        <v>29</v>
      </c>
      <c r="G137" s="22" t="n">
        <v>39794.4</v>
      </c>
      <c r="H137" s="22" t="n">
        <v>7674.9</v>
      </c>
      <c r="I137" s="44" t="n">
        <v>0.1928638200349798</v>
      </c>
      <c r="J137" s="21" t="n">
        <v>3</v>
      </c>
      <c r="K137" s="22" t="n">
        <v>3617</v>
      </c>
      <c r="L137" s="22" t="n">
        <v>3096.58</v>
      </c>
      <c r="M137" s="44" t="n">
        <v>0.8561183301078241</v>
      </c>
      <c r="N137" s="22" t="n">
        <v>1566.555555555556</v>
      </c>
      <c r="O137" s="22" t="n">
        <v>1205.666666666667</v>
      </c>
      <c r="P137" s="22" t="n">
        <v>14713.42</v>
      </c>
      <c r="Q137" s="22" t="n">
        <v>801.145719</v>
      </c>
      <c r="R137" s="22" t="n">
        <v>320.4582876</v>
      </c>
    </row>
    <row r="139">
      <c r="A139" s="45" t="inlineStr">
        <is>
          <t>PROPOSAL A - PREMIUM-BASED</t>
        </is>
      </c>
    </row>
    <row r="140">
      <c r="A140" s="6" t="inlineStr">
        <is>
          <t>Month</t>
        </is>
      </c>
      <c r="B140" s="6" t="inlineStr">
        <is>
          <t>NB Tier</t>
        </is>
      </c>
      <c r="C140" s="6" t="inlineStr">
        <is>
          <t>NB Per-Policy $</t>
        </is>
      </c>
      <c r="D140" s="6" t="inlineStr">
        <is>
          <t>NB Target (w/ kicker)</t>
        </is>
      </c>
      <c r="E140" s="6" t="inlineStr">
        <is>
          <t>REN Tier</t>
        </is>
      </c>
      <c r="F140" s="6" t="inlineStr">
        <is>
          <t>REN Per-Policy $</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12" t="inlineStr">
        <is>
          <t>January</t>
        </is>
      </c>
      <c r="B141" s="12" t="inlineStr">
        <is>
          <t>$1,200-$1,799</t>
        </is>
      </c>
      <c r="C141" s="11" t="n">
        <v>7</v>
      </c>
      <c r="D141" s="11" t="n">
        <v>70</v>
      </c>
      <c r="E141" s="12" t="inlineStr">
        <is>
          <t>Under $1,200</t>
        </is>
      </c>
      <c r="F141" s="11" t="n">
        <v>4</v>
      </c>
      <c r="G141" s="11" t="n">
        <v>17.6</v>
      </c>
      <c r="H141" s="11" t="n">
        <v>61.60000000000001</v>
      </c>
      <c r="I141" s="11" t="n">
        <v>149.2</v>
      </c>
      <c r="J141" s="23" t="n">
        <v>0</v>
      </c>
      <c r="K141" s="33" t="inlineStr">
        <is>
          <t>n/n/n</t>
        </is>
      </c>
      <c r="L141" s="11" t="n">
        <v>508.6610099999999</v>
      </c>
      <c r="M141" s="46" t="n">
        <v>0.2933191203312399</v>
      </c>
      <c r="N141" s="11" t="n">
        <v>-350</v>
      </c>
      <c r="O141" s="11" t="n">
        <v>350</v>
      </c>
    </row>
    <row r="142">
      <c r="A142" s="12" t="inlineStr">
        <is>
          <t>February</t>
        </is>
      </c>
      <c r="B142" s="12" t="inlineStr">
        <is>
          <t>$1,200-$1,799</t>
        </is>
      </c>
      <c r="C142" s="11" t="n">
        <v>7</v>
      </c>
      <c r="D142" s="11" t="n">
        <v>107.8</v>
      </c>
      <c r="E142" s="12" t="inlineStr">
        <is>
          <t>$1,200-$1,799</t>
        </is>
      </c>
      <c r="F142" s="11" t="n">
        <v>5</v>
      </c>
      <c r="G142" s="11" t="n">
        <v>28.75</v>
      </c>
      <c r="H142" s="11" t="n">
        <v>52.8</v>
      </c>
      <c r="I142" s="11" t="n">
        <v>189.35</v>
      </c>
      <c r="J142" s="23" t="n">
        <v>0</v>
      </c>
      <c r="K142" s="33" t="inlineStr">
        <is>
          <t>n/n/n</t>
        </is>
      </c>
      <c r="L142" s="11" t="n">
        <v>664.8437564999998</v>
      </c>
      <c r="M142" s="46" t="n">
        <v>0.2848037574975709</v>
      </c>
      <c r="N142" s="11" t="n">
        <v>-350</v>
      </c>
      <c r="O142" s="11" t="n">
        <v>350</v>
      </c>
    </row>
    <row r="143">
      <c r="A143" s="12" t="inlineStr">
        <is>
          <t>March</t>
        </is>
      </c>
      <c r="B143" s="12" t="inlineStr">
        <is>
          <t>Under $1,200</t>
        </is>
      </c>
      <c r="C143" s="11" t="n">
        <v>5</v>
      </c>
      <c r="D143" s="11" t="n">
        <v>109.25</v>
      </c>
      <c r="E143" s="12" t="inlineStr">
        <is>
          <t>Under $1,200</t>
        </is>
      </c>
      <c r="F143" s="11" t="n">
        <v>4</v>
      </c>
      <c r="G143" s="11" t="n">
        <v>27.6</v>
      </c>
      <c r="H143" s="11" t="n">
        <v>41.8</v>
      </c>
      <c r="I143" s="11" t="n">
        <v>178.65</v>
      </c>
      <c r="J143" s="23" t="n">
        <v>0</v>
      </c>
      <c r="K143" s="33" t="inlineStr">
        <is>
          <t>n/n/n</t>
        </is>
      </c>
      <c r="L143" s="11" t="n">
        <v>572.991507</v>
      </c>
      <c r="M143" s="46" t="n">
        <v>0.3117847259819856</v>
      </c>
      <c r="N143" s="11" t="n">
        <v>-350</v>
      </c>
      <c r="O143" s="11" t="n">
        <v>350</v>
      </c>
    </row>
    <row r="144">
      <c r="A144" s="12" t="inlineStr">
        <is>
          <t>April</t>
        </is>
      </c>
      <c r="B144" s="12" t="inlineStr">
        <is>
          <t>$1,200-$1,799</t>
        </is>
      </c>
      <c r="C144" s="11" t="n">
        <v>7</v>
      </c>
      <c r="D144" s="11" t="n">
        <v>72.44999999999999</v>
      </c>
      <c r="E144" s="12" t="inlineStr">
        <is>
          <t>$1,200-$1,799</t>
        </is>
      </c>
      <c r="F144" s="11" t="n">
        <v>5</v>
      </c>
      <c r="G144" s="11" t="n">
        <v>18</v>
      </c>
      <c r="H144" s="11" t="n">
        <v>63.8</v>
      </c>
      <c r="I144" s="11" t="n">
        <v>154.25</v>
      </c>
      <c r="J144" s="23" t="n">
        <v>0</v>
      </c>
      <c r="K144" s="33" t="inlineStr">
        <is>
          <t>n/n/n</t>
        </is>
      </c>
      <c r="L144" s="11" t="n">
        <v>801.145719</v>
      </c>
      <c r="M144" s="46" t="n">
        <v>0.1925367587216677</v>
      </c>
      <c r="N144" s="11" t="n">
        <v>-350</v>
      </c>
      <c r="O144" s="11" t="n">
        <v>350</v>
      </c>
    </row>
    <row r="145">
      <c r="A145" s="26" t="inlineStr">
        <is>
          <t>4-Month Total</t>
        </is>
      </c>
      <c r="B145" s="35" t="n"/>
      <c r="C145" s="35" t="n"/>
      <c r="D145" s="35" t="n"/>
      <c r="E145" s="35" t="n"/>
      <c r="F145" s="35" t="n"/>
      <c r="G145" s="35" t="n"/>
      <c r="H145" s="35" t="n"/>
      <c r="I145" s="27" t="n">
        <v>671.45</v>
      </c>
      <c r="J145" s="27" t="n">
        <v>0</v>
      </c>
      <c r="K145" s="35" t="n"/>
      <c r="L145" s="35" t="n"/>
      <c r="M145" s="35" t="n"/>
      <c r="N145" s="27" t="n">
        <v>-1400</v>
      </c>
      <c r="O145" s="27" t="n">
        <v>1400</v>
      </c>
    </row>
    <row r="147">
      <c r="A147" s="47" t="inlineStr">
        <is>
          <t>PROPOSAL B - COVERAGE-BASED</t>
        </is>
      </c>
    </row>
    <row r="148">
      <c r="A148" s="6" t="inlineStr">
        <is>
          <t>Month</t>
        </is>
      </c>
      <c r="B148" s="6" t="inlineStr">
        <is>
          <t>NB Base ($10 x ct)</t>
        </is>
      </c>
      <c r="C148" s="6" t="inlineStr">
        <is>
          <t>NB Liab Add ($5 x 35%)</t>
        </is>
      </c>
      <c r="D148" s="6" t="inlineStr">
        <is>
          <t>NB Target (w/ kicker)</t>
        </is>
      </c>
      <c r="E148" s="6" t="inlineStr">
        <is>
          <t>REN Base ($6 x ct)</t>
        </is>
      </c>
      <c r="F148" s="6" t="inlineStr">
        <is>
          <t>REN Liab Add ($3 x 30%)</t>
        </is>
      </c>
      <c r="G148" s="6" t="inlineStr">
        <is>
          <t>REN Target (w/ kicker)</t>
        </is>
      </c>
      <c r="H148" s="6" t="inlineStr">
        <is>
          <t>RWR Target (w/ kicker)</t>
        </is>
      </c>
      <c r="I148" s="6" t="inlineStr">
        <is>
          <t>Total Target (no min)</t>
        </is>
      </c>
      <c r="J148" s="6" t="inlineStr">
        <is>
          <t>PAID after MIN</t>
        </is>
      </c>
      <c r="K148" s="6" t="inlineStr">
        <is>
          <t>Gates (NB/REN/RWR)</t>
        </is>
      </c>
      <c r="L148" s="6" t="inlineStr">
        <is>
          <t>Safe Net</t>
        </is>
      </c>
      <c r="M148" s="6" t="inlineStr">
        <is>
          <t>Bonus % SN</t>
        </is>
      </c>
      <c r="N148" s="6" t="inlineStr">
        <is>
          <t>vs Current</t>
        </is>
      </c>
      <c r="O148" s="6" t="inlineStr">
        <is>
          <t>Current Bonus</t>
        </is>
      </c>
    </row>
    <row r="149">
      <c r="A149" s="15" t="inlineStr">
        <is>
          <t>January</t>
        </is>
      </c>
      <c r="B149" s="14" t="n">
        <v>100</v>
      </c>
      <c r="C149" s="14" t="n">
        <v>17.5</v>
      </c>
      <c r="D149" s="14" t="n">
        <v>117.5</v>
      </c>
      <c r="E149" s="14" t="n">
        <v>24</v>
      </c>
      <c r="F149" s="14" t="n">
        <v>3.6</v>
      </c>
      <c r="G149" s="14" t="n">
        <v>30.36</v>
      </c>
      <c r="H149" s="14" t="n">
        <v>61.60000000000001</v>
      </c>
      <c r="I149" s="14" t="n">
        <v>209.46</v>
      </c>
      <c r="J149" s="24" t="n">
        <v>0</v>
      </c>
      <c r="K149" s="33" t="inlineStr">
        <is>
          <t>n/n/n</t>
        </is>
      </c>
      <c r="L149" s="14" t="n">
        <v>508.6610099999999</v>
      </c>
      <c r="M149" s="48" t="n">
        <v>0.4117870170548359</v>
      </c>
      <c r="N149" s="14" t="n">
        <v>-350</v>
      </c>
      <c r="O149" s="14" t="n">
        <v>350</v>
      </c>
    </row>
    <row r="150">
      <c r="A150" s="15" t="inlineStr">
        <is>
          <t>February</t>
        </is>
      </c>
      <c r="B150" s="14" t="n">
        <v>140</v>
      </c>
      <c r="C150" s="14" t="n">
        <v>24.5</v>
      </c>
      <c r="D150" s="14" t="n">
        <v>180.95</v>
      </c>
      <c r="E150" s="14" t="n">
        <v>30</v>
      </c>
      <c r="F150" s="14" t="n">
        <v>4.5</v>
      </c>
      <c r="G150" s="14" t="n">
        <v>39.675</v>
      </c>
      <c r="H150" s="14" t="n">
        <v>52.8</v>
      </c>
      <c r="I150" s="14" t="n">
        <v>273.425</v>
      </c>
      <c r="J150" s="24" t="n">
        <v>0</v>
      </c>
      <c r="K150" s="33" t="inlineStr">
        <is>
          <t>n/n/n</t>
        </is>
      </c>
      <c r="L150" s="14" t="n">
        <v>664.8437564999998</v>
      </c>
      <c r="M150" s="48" t="n">
        <v>0.4112620406325498</v>
      </c>
      <c r="N150" s="14" t="n">
        <v>-350</v>
      </c>
      <c r="O150" s="14" t="n">
        <v>350</v>
      </c>
    </row>
    <row r="151">
      <c r="A151" s="15" t="inlineStr">
        <is>
          <t>March</t>
        </is>
      </c>
      <c r="B151" s="14" t="n">
        <v>190</v>
      </c>
      <c r="C151" s="14" t="n">
        <v>33.25</v>
      </c>
      <c r="D151" s="14" t="n">
        <v>256.7375</v>
      </c>
      <c r="E151" s="14" t="n">
        <v>36</v>
      </c>
      <c r="F151" s="14" t="n">
        <v>5.399999999999999</v>
      </c>
      <c r="G151" s="14" t="n">
        <v>47.60999999999999</v>
      </c>
      <c r="H151" s="14" t="n">
        <v>41.8</v>
      </c>
      <c r="I151" s="14" t="n">
        <v>346.1475</v>
      </c>
      <c r="J151" s="24" t="n">
        <v>0</v>
      </c>
      <c r="K151" s="33" t="inlineStr">
        <is>
          <t>n/n/n</t>
        </is>
      </c>
      <c r="L151" s="14" t="n">
        <v>572.991507</v>
      </c>
      <c r="M151" s="48" t="n">
        <v>0.6041058126887734</v>
      </c>
      <c r="N151" s="14" t="n">
        <v>-350</v>
      </c>
      <c r="O151" s="14" t="n">
        <v>350</v>
      </c>
    </row>
    <row r="152">
      <c r="A152" s="15" t="inlineStr">
        <is>
          <t>April</t>
        </is>
      </c>
      <c r="B152" s="14" t="n">
        <v>90</v>
      </c>
      <c r="C152" s="14" t="n">
        <v>15.75</v>
      </c>
      <c r="D152" s="14" t="n">
        <v>121.6125</v>
      </c>
      <c r="E152" s="14" t="n">
        <v>18</v>
      </c>
      <c r="F152" s="14" t="n">
        <v>2.7</v>
      </c>
      <c r="G152" s="14" t="n">
        <v>24.84</v>
      </c>
      <c r="H152" s="14" t="n">
        <v>63.8</v>
      </c>
      <c r="I152" s="14" t="n">
        <v>210.2525</v>
      </c>
      <c r="J152" s="24" t="n">
        <v>0</v>
      </c>
      <c r="K152" s="33" t="inlineStr">
        <is>
          <t>n/n/n</t>
        </is>
      </c>
      <c r="L152" s="14" t="n">
        <v>801.145719</v>
      </c>
      <c r="M152" s="48" t="n">
        <v>0.2624397722082816</v>
      </c>
      <c r="N152" s="14" t="n">
        <v>-350</v>
      </c>
      <c r="O152" s="14" t="n">
        <v>350</v>
      </c>
    </row>
    <row r="153">
      <c r="A153" s="26" t="inlineStr">
        <is>
          <t>4-Month Total</t>
        </is>
      </c>
      <c r="B153" s="35" t="n"/>
      <c r="C153" s="35" t="n"/>
      <c r="D153" s="35" t="n"/>
      <c r="E153" s="35" t="n"/>
      <c r="F153" s="35" t="n"/>
      <c r="G153" s="35" t="n"/>
      <c r="H153" s="35" t="n"/>
      <c r="I153" s="27" t="n">
        <v>1039.285</v>
      </c>
      <c r="J153" s="27" t="n">
        <v>0</v>
      </c>
      <c r="K153" s="35" t="n"/>
      <c r="L153" s="35" t="n"/>
      <c r="M153" s="35" t="n"/>
      <c r="N153" s="27" t="n">
        <v>-1400</v>
      </c>
      <c r="O153" s="27" t="n">
        <v>1400</v>
      </c>
    </row>
    <row r="155">
      <c r="A155" s="49" t="inlineStr">
        <is>
          <t>PROPOSAL C - PERSISTENCY (BONUS IDEA)</t>
        </is>
      </c>
    </row>
    <row r="156">
      <c r="A156" s="6" t="inlineStr">
        <is>
          <t>Month</t>
        </is>
      </c>
      <c r="B156" s="6" t="inlineStr">
        <is>
          <t>NB ($8 x ct)</t>
        </is>
      </c>
      <c r="C156" s="6" t="inlineStr">
        <is>
          <t>REN ($8 x ct)</t>
        </is>
      </c>
      <c r="D156" s="6" t="inlineStr">
        <is>
          <t>RWR ($1 x ct)</t>
        </is>
      </c>
      <c r="E156" s="6" t="inlineStr">
        <is>
          <t>NB Target</t>
        </is>
      </c>
      <c r="F156" s="6" t="inlineStr">
        <is>
          <t>REN Target</t>
        </is>
      </c>
      <c r="G156" s="6" t="inlineStr">
        <is>
          <t>RWR Target</t>
        </is>
      </c>
      <c r="H156" s="6" t="inlineStr">
        <is>
          <t>Total Target (no min)</t>
        </is>
      </c>
      <c r="I156" s="6" t="inlineStr">
        <is>
          <t>PAID after MIN</t>
        </is>
      </c>
      <c r="J156" s="6" t="inlineStr">
        <is>
          <t>Gates (NB/REN/RWR)</t>
        </is>
      </c>
      <c r="K156" s="6" t="inlineStr">
        <is>
          <t>Safe Net</t>
        </is>
      </c>
      <c r="L156" s="6" t="inlineStr">
        <is>
          <t>Bonus % SN</t>
        </is>
      </c>
      <c r="M156" s="6" t="inlineStr">
        <is>
          <t>vs Current</t>
        </is>
      </c>
      <c r="N156" s="6" t="inlineStr">
        <is>
          <t>Current Bonus</t>
        </is>
      </c>
    </row>
    <row r="157">
      <c r="A157" s="18" t="inlineStr">
        <is>
          <t>January</t>
        </is>
      </c>
      <c r="B157" s="17" t="n">
        <v>80</v>
      </c>
      <c r="C157" s="17" t="n">
        <v>32</v>
      </c>
      <c r="D157" s="17" t="n">
        <v>28</v>
      </c>
      <c r="E157" s="17" t="n">
        <v>80</v>
      </c>
      <c r="F157" s="17" t="n">
        <v>35.2</v>
      </c>
      <c r="G157" s="17" t="n">
        <v>30.8</v>
      </c>
      <c r="H157" s="17" t="n">
        <v>146</v>
      </c>
      <c r="I157" s="25" t="n">
        <v>0</v>
      </c>
      <c r="J157" s="33" t="inlineStr">
        <is>
          <t>n/n/n</t>
        </is>
      </c>
      <c r="K157" s="17" t="n">
        <v>508.6610099999999</v>
      </c>
      <c r="L157" s="50" t="n">
        <v>0.2870280936217227</v>
      </c>
      <c r="M157" s="17" t="n">
        <v>-350</v>
      </c>
      <c r="N157" s="17" t="n">
        <v>350</v>
      </c>
    </row>
    <row r="158">
      <c r="A158" s="18" t="inlineStr">
        <is>
          <t>February</t>
        </is>
      </c>
      <c r="B158" s="17" t="n">
        <v>112</v>
      </c>
      <c r="C158" s="17" t="n">
        <v>40</v>
      </c>
      <c r="D158" s="17" t="n">
        <v>24</v>
      </c>
      <c r="E158" s="17" t="n">
        <v>123.2</v>
      </c>
      <c r="F158" s="17" t="n">
        <v>46</v>
      </c>
      <c r="G158" s="17" t="n">
        <v>26.4</v>
      </c>
      <c r="H158" s="17" t="n">
        <v>195.6</v>
      </c>
      <c r="I158" s="25" t="n">
        <v>0</v>
      </c>
      <c r="J158" s="33" t="inlineStr">
        <is>
          <t>n/n/n</t>
        </is>
      </c>
      <c r="K158" s="17" t="n">
        <v>664.8437564999998</v>
      </c>
      <c r="L158" s="50" t="n">
        <v>0.2942044624585417</v>
      </c>
      <c r="M158" s="17" t="n">
        <v>-350</v>
      </c>
      <c r="N158" s="17" t="n">
        <v>350</v>
      </c>
    </row>
    <row r="159">
      <c r="A159" s="18" t="inlineStr">
        <is>
          <t>March</t>
        </is>
      </c>
      <c r="B159" s="17" t="n">
        <v>152</v>
      </c>
      <c r="C159" s="17" t="n">
        <v>48</v>
      </c>
      <c r="D159" s="17" t="n">
        <v>19</v>
      </c>
      <c r="E159" s="17" t="n">
        <v>174.8</v>
      </c>
      <c r="F159" s="17" t="n">
        <v>55.2</v>
      </c>
      <c r="G159" s="17" t="n">
        <v>20.9</v>
      </c>
      <c r="H159" s="17" t="n">
        <v>250.9</v>
      </c>
      <c r="I159" s="25" t="n">
        <v>0</v>
      </c>
      <c r="J159" s="33" t="inlineStr">
        <is>
          <t>n/n/n</t>
        </is>
      </c>
      <c r="K159" s="17" t="n">
        <v>572.991507</v>
      </c>
      <c r="L159" s="50" t="n">
        <v>0.4378773453617699</v>
      </c>
      <c r="M159" s="17" t="n">
        <v>-350</v>
      </c>
      <c r="N159" s="17" t="n">
        <v>350</v>
      </c>
    </row>
    <row r="160">
      <c r="A160" s="18" t="inlineStr">
        <is>
          <t>April</t>
        </is>
      </c>
      <c r="B160" s="17" t="n">
        <v>72</v>
      </c>
      <c r="C160" s="17" t="n">
        <v>24</v>
      </c>
      <c r="D160" s="17" t="n">
        <v>29</v>
      </c>
      <c r="E160" s="17" t="n">
        <v>82.8</v>
      </c>
      <c r="F160" s="17" t="n">
        <v>28.8</v>
      </c>
      <c r="G160" s="17" t="n">
        <v>31.9</v>
      </c>
      <c r="H160" s="17" t="n">
        <v>143.5</v>
      </c>
      <c r="I160" s="25" t="n">
        <v>0</v>
      </c>
      <c r="J160" s="33" t="inlineStr">
        <is>
          <t>n/n/n</t>
        </is>
      </c>
      <c r="K160" s="17" t="n">
        <v>801.145719</v>
      </c>
      <c r="L160" s="50" t="n">
        <v>0.1791184756989259</v>
      </c>
      <c r="M160" s="17" t="n">
        <v>-350</v>
      </c>
      <c r="N160" s="17" t="n">
        <v>350</v>
      </c>
    </row>
    <row r="161">
      <c r="A161" s="26" t="inlineStr">
        <is>
          <t>4-Month Total</t>
        </is>
      </c>
      <c r="B161" s="35" t="n"/>
      <c r="C161" s="35" t="n"/>
      <c r="D161" s="35" t="n"/>
      <c r="E161" s="35" t="n"/>
      <c r="F161" s="35" t="n"/>
      <c r="G161" s="35" t="n"/>
      <c r="H161" s="27" t="n">
        <v>736</v>
      </c>
      <c r="I161" s="27" t="n">
        <v>0</v>
      </c>
      <c r="J161" s="35" t="n"/>
      <c r="K161" s="35" t="n"/>
      <c r="L161" s="35" t="n"/>
      <c r="M161" s="27" t="n">
        <v>-1400</v>
      </c>
      <c r="N161" s="27" t="n">
        <v>1400</v>
      </c>
    </row>
    <row r="164" ht="22" customHeight="1">
      <c r="A164" s="5" t="inlineStr">
        <is>
          <t>Monica Valdes</t>
        </is>
      </c>
    </row>
    <row r="165">
      <c r="A165" s="6" t="inlineStr">
        <is>
          <t>Month</t>
        </is>
      </c>
      <c r="B165" s="6" t="inlineStr">
        <is>
          <t>NB Count</t>
        </is>
      </c>
      <c r="C165" s="6" t="inlineStr">
        <is>
          <t>NB Premium</t>
        </is>
      </c>
      <c r="D165" s="6" t="inlineStr">
        <is>
          <t>NB Collected</t>
        </is>
      </c>
      <c r="E165" s="6" t="inlineStr">
        <is>
          <t>NB Coll %</t>
        </is>
      </c>
      <c r="F165" s="6" t="inlineStr">
        <is>
          <t>RWR Count</t>
        </is>
      </c>
      <c r="G165" s="6" t="inlineStr">
        <is>
          <t>RWR Premium</t>
        </is>
      </c>
      <c r="H165" s="6" t="inlineStr">
        <is>
          <t>RWR Collected</t>
        </is>
      </c>
      <c r="I165" s="6" t="inlineStr">
        <is>
          <t>RWR Coll %</t>
        </is>
      </c>
      <c r="J165" s="6" t="inlineStr">
        <is>
          <t>REN Count</t>
        </is>
      </c>
      <c r="K165" s="6" t="inlineStr">
        <is>
          <t>REN Premium</t>
        </is>
      </c>
      <c r="L165" s="6" t="inlineStr">
        <is>
          <t>REN Collected</t>
        </is>
      </c>
      <c r="M165" s="6" t="inlineStr">
        <is>
          <t>REN Coll %</t>
        </is>
      </c>
      <c r="N165" s="6" t="inlineStr">
        <is>
          <t>Avg NB Prem</t>
        </is>
      </c>
      <c r="O165" s="6" t="inlineStr">
        <is>
          <t>Avg REN Prem</t>
        </is>
      </c>
      <c r="P165" s="6" t="inlineStr">
        <is>
          <t>Total Collected</t>
        </is>
      </c>
      <c r="Q165" s="6" t="inlineStr">
        <is>
          <t>Safe Net</t>
        </is>
      </c>
      <c r="R165" s="6" t="inlineStr">
        <is>
          <t>Cap</t>
        </is>
      </c>
    </row>
    <row r="166">
      <c r="A166" s="20" t="inlineStr">
        <is>
          <t>January</t>
        </is>
      </c>
      <c r="B166" s="21" t="n">
        <v>23</v>
      </c>
      <c r="C166" s="22" t="n">
        <v>28605.29</v>
      </c>
      <c r="D166" s="22" t="n">
        <v>6551.7</v>
      </c>
      <c r="E166" s="44" t="n">
        <v>0.2290380555484667</v>
      </c>
      <c r="F166" s="21" t="n">
        <v>37</v>
      </c>
      <c r="G166" s="22" t="n">
        <v>48612.96</v>
      </c>
      <c r="H166" s="22" t="n">
        <v>8203.879999999999</v>
      </c>
      <c r="I166" s="44" t="n">
        <v>0.1687591127962584</v>
      </c>
      <c r="J166" s="21" t="n">
        <v>6</v>
      </c>
      <c r="K166" s="22" t="n">
        <v>6502.91</v>
      </c>
      <c r="L166" s="22" t="n">
        <v>1439.3</v>
      </c>
      <c r="M166" s="44" t="n">
        <v>0.2213316807398534</v>
      </c>
      <c r="N166" s="22" t="n">
        <v>1243.708260869565</v>
      </c>
      <c r="O166" s="22" t="n">
        <v>1083.818333333333</v>
      </c>
      <c r="P166" s="22" t="n">
        <v>16194.88</v>
      </c>
      <c r="Q166" s="22" t="n">
        <v>881.8112159999998</v>
      </c>
      <c r="R166" s="22" t="n">
        <v>352.7244863999999</v>
      </c>
    </row>
    <row r="167">
      <c r="A167" s="20" t="inlineStr">
        <is>
          <t>February</t>
        </is>
      </c>
      <c r="B167" s="21" t="n">
        <v>21</v>
      </c>
      <c r="C167" s="22" t="n">
        <v>31516.95</v>
      </c>
      <c r="D167" s="22" t="n">
        <v>6512.87</v>
      </c>
      <c r="E167" s="44" t="n">
        <v>0.206646582235908</v>
      </c>
      <c r="F167" s="21" t="n">
        <v>29</v>
      </c>
      <c r="G167" s="22" t="n">
        <v>47228.18</v>
      </c>
      <c r="H167" s="22" t="n">
        <v>7155.23</v>
      </c>
      <c r="I167" s="44" t="n">
        <v>0.1515034032647457</v>
      </c>
      <c r="J167" s="21" t="n">
        <v>2</v>
      </c>
      <c r="K167" s="22" t="n">
        <v>3092</v>
      </c>
      <c r="L167" s="22" t="n">
        <v>272.87</v>
      </c>
      <c r="M167" s="44" t="n">
        <v>0.0882503234152652</v>
      </c>
      <c r="N167" s="22" t="n">
        <v>1500.807142857143</v>
      </c>
      <c r="O167" s="22" t="n">
        <v>1546</v>
      </c>
      <c r="P167" s="22" t="n">
        <v>13940.97</v>
      </c>
      <c r="Q167" s="22" t="n">
        <v>759.0858164999999</v>
      </c>
      <c r="R167" s="22" t="n">
        <v>303.6343266</v>
      </c>
    </row>
    <row r="168">
      <c r="A168" s="20" t="inlineStr">
        <is>
          <t>March</t>
        </is>
      </c>
      <c r="B168" s="21" t="n">
        <v>36</v>
      </c>
      <c r="C168" s="22" t="n">
        <v>68546.22</v>
      </c>
      <c r="D168" s="22" t="n">
        <v>17019.79</v>
      </c>
      <c r="E168" s="44" t="n">
        <v>0.2482965508528406</v>
      </c>
      <c r="F168" s="21" t="n">
        <v>28</v>
      </c>
      <c r="G168" s="22" t="n">
        <v>39254.65</v>
      </c>
      <c r="H168" s="22" t="n">
        <v>5300.53</v>
      </c>
      <c r="I168" s="44" t="n">
        <v>0.135029353210384</v>
      </c>
      <c r="J168" s="21" t="n">
        <v>0</v>
      </c>
      <c r="K168" s="22" t="n">
        <v>0</v>
      </c>
      <c r="L168" s="22" t="n">
        <v>0</v>
      </c>
      <c r="M168" s="44" t="n">
        <v>0</v>
      </c>
      <c r="N168" s="22" t="n">
        <v>1904.061666666667</v>
      </c>
      <c r="O168" s="22" t="n">
        <v>0</v>
      </c>
      <c r="P168" s="22" t="n">
        <v>22320.32</v>
      </c>
      <c r="Q168" s="22" t="n">
        <v>1215.341424</v>
      </c>
      <c r="R168" s="22" t="n">
        <v>486.1365696</v>
      </c>
    </row>
    <row r="169">
      <c r="A169" s="20" t="inlineStr">
        <is>
          <t>April</t>
        </is>
      </c>
      <c r="B169" s="21" t="n">
        <v>22</v>
      </c>
      <c r="C169" s="22" t="n">
        <v>29755.49</v>
      </c>
      <c r="D169" s="22" t="n">
        <v>6197.26</v>
      </c>
      <c r="E169" s="44" t="n">
        <v>0.2082728262918876</v>
      </c>
      <c r="F169" s="21" t="n">
        <v>22</v>
      </c>
      <c r="G169" s="22" t="n">
        <v>35279.9</v>
      </c>
      <c r="H169" s="22" t="n">
        <v>7305.79</v>
      </c>
      <c r="I169" s="44" t="n">
        <v>0.2070808023832267</v>
      </c>
      <c r="J169" s="21" t="n">
        <v>2</v>
      </c>
      <c r="K169" s="22" t="n">
        <v>2514</v>
      </c>
      <c r="L169" s="22" t="n">
        <v>291.12</v>
      </c>
      <c r="M169" s="44" t="n">
        <v>0.115799522673031</v>
      </c>
      <c r="N169" s="22" t="n">
        <v>1352.522272727273</v>
      </c>
      <c r="O169" s="22" t="n">
        <v>1257</v>
      </c>
      <c r="P169" s="22" t="n">
        <v>13794.17</v>
      </c>
      <c r="Q169" s="22" t="n">
        <v>751.0925564999999</v>
      </c>
      <c r="R169" s="22" t="n">
        <v>300.4370226</v>
      </c>
    </row>
    <row r="171">
      <c r="A171" s="45" t="inlineStr">
        <is>
          <t>PROPOSAL A - PREMIUM-BASED</t>
        </is>
      </c>
    </row>
    <row r="172">
      <c r="A172" s="6" t="inlineStr">
        <is>
          <t>Month</t>
        </is>
      </c>
      <c r="B172" s="6" t="inlineStr">
        <is>
          <t>NB Tier</t>
        </is>
      </c>
      <c r="C172" s="6" t="inlineStr">
        <is>
          <t>NB Per-Policy $</t>
        </is>
      </c>
      <c r="D172" s="6" t="inlineStr">
        <is>
          <t>NB Target (w/ kicker)</t>
        </is>
      </c>
      <c r="E172" s="6" t="inlineStr">
        <is>
          <t>REN Tier</t>
        </is>
      </c>
      <c r="F172" s="6" t="inlineStr">
        <is>
          <t>REN Per-Policy $</t>
        </is>
      </c>
      <c r="G172" s="6" t="inlineStr">
        <is>
          <t>REN Target (w/ kicker)</t>
        </is>
      </c>
      <c r="H172" s="6" t="inlineStr">
        <is>
          <t>RWR Target (w/ kicker)</t>
        </is>
      </c>
      <c r="I172" s="6" t="inlineStr">
        <is>
          <t>Total Target (no min)</t>
        </is>
      </c>
      <c r="J172" s="6" t="inlineStr">
        <is>
          <t>PAID after MIN</t>
        </is>
      </c>
      <c r="K172" s="6" t="inlineStr">
        <is>
          <t>Gates (NB/REN/RWR)</t>
        </is>
      </c>
      <c r="L172" s="6" t="inlineStr">
        <is>
          <t>Safe Net</t>
        </is>
      </c>
      <c r="M172" s="6" t="inlineStr">
        <is>
          <t>Bonus % SN</t>
        </is>
      </c>
      <c r="N172" s="6" t="inlineStr">
        <is>
          <t>vs Current</t>
        </is>
      </c>
      <c r="O172" s="6" t="inlineStr">
        <is>
          <t>Current Bonus</t>
        </is>
      </c>
    </row>
    <row r="173">
      <c r="A173" s="12" t="inlineStr">
        <is>
          <t>January</t>
        </is>
      </c>
      <c r="B173" s="12" t="inlineStr">
        <is>
          <t>$1,200-$1,799</t>
        </is>
      </c>
      <c r="C173" s="11" t="n">
        <v>7</v>
      </c>
      <c r="D173" s="11" t="n">
        <v>177.1</v>
      </c>
      <c r="E173" s="12" t="inlineStr">
        <is>
          <t>Under $1,200</t>
        </is>
      </c>
      <c r="F173" s="11" t="n">
        <v>4</v>
      </c>
      <c r="G173" s="11" t="n">
        <v>26.4</v>
      </c>
      <c r="H173" s="11" t="n">
        <v>81.40000000000001</v>
      </c>
      <c r="I173" s="11" t="n">
        <v>284.9</v>
      </c>
      <c r="J173" s="23" t="n">
        <v>0</v>
      </c>
      <c r="K173" s="33" t="inlineStr">
        <is>
          <t>n/n/n</t>
        </is>
      </c>
      <c r="L173" s="11" t="n">
        <v>881.8112159999998</v>
      </c>
      <c r="M173" s="46" t="n">
        <v>0.3230850263986664</v>
      </c>
      <c r="N173" s="11" t="n">
        <v>-550</v>
      </c>
      <c r="O173" s="11" t="n">
        <v>550</v>
      </c>
    </row>
    <row r="174">
      <c r="A174" s="12" t="inlineStr">
        <is>
          <t>February</t>
        </is>
      </c>
      <c r="B174" s="12" t="inlineStr">
        <is>
          <t>$1,200-$1,799</t>
        </is>
      </c>
      <c r="C174" s="11" t="n">
        <v>7</v>
      </c>
      <c r="D174" s="11" t="n">
        <v>161.7</v>
      </c>
      <c r="E174" s="12" t="inlineStr">
        <is>
          <t>$1,200-$1,799</t>
        </is>
      </c>
      <c r="F174" s="11" t="n">
        <v>5</v>
      </c>
      <c r="G174" s="11" t="n">
        <v>10</v>
      </c>
      <c r="H174" s="11" t="n">
        <v>63.8</v>
      </c>
      <c r="I174" s="11" t="n">
        <v>235.5</v>
      </c>
      <c r="J174" s="23" t="n">
        <v>0</v>
      </c>
      <c r="K174" s="33" t="inlineStr">
        <is>
          <t>n/n/n</t>
        </is>
      </c>
      <c r="L174" s="11" t="n">
        <v>759.0858164999999</v>
      </c>
      <c r="M174" s="46" t="n">
        <v>0.3102416023076886</v>
      </c>
      <c r="N174" s="11" t="n">
        <v>-450</v>
      </c>
      <c r="O174" s="11" t="n">
        <v>450</v>
      </c>
    </row>
    <row r="175">
      <c r="A175" s="12" t="inlineStr">
        <is>
          <t>March</t>
        </is>
      </c>
      <c r="B175" s="12" t="inlineStr">
        <is>
          <t>$1,800-$2,199</t>
        </is>
      </c>
      <c r="C175" s="11" t="n">
        <v>9</v>
      </c>
      <c r="D175" s="11" t="n">
        <v>356.4</v>
      </c>
      <c r="E175" s="12" t="inlineStr">
        <is>
          <t>Under $1,200</t>
        </is>
      </c>
      <c r="F175" s="11" t="n">
        <v>4</v>
      </c>
      <c r="G175" s="11" t="n">
        <v>0</v>
      </c>
      <c r="H175" s="11" t="n">
        <v>56</v>
      </c>
      <c r="I175" s="11" t="n">
        <v>412.4</v>
      </c>
      <c r="J175" s="23" t="n">
        <v>356.4</v>
      </c>
      <c r="K175" s="51" t="inlineStr">
        <is>
          <t>Y/n/n</t>
        </is>
      </c>
      <c r="L175" s="11" t="n">
        <v>1215.341424</v>
      </c>
      <c r="M175" s="46" t="n">
        <v>0.3393285144866419</v>
      </c>
      <c r="N175" s="11" t="n">
        <v>-233.6</v>
      </c>
      <c r="O175" s="11" t="n">
        <v>590</v>
      </c>
    </row>
    <row r="176">
      <c r="A176" s="12" t="inlineStr">
        <is>
          <t>April</t>
        </is>
      </c>
      <c r="B176" s="12" t="inlineStr">
        <is>
          <t>$1,200-$1,799</t>
        </is>
      </c>
      <c r="C176" s="11" t="n">
        <v>7</v>
      </c>
      <c r="D176" s="11" t="n">
        <v>169.4</v>
      </c>
      <c r="E176" s="12" t="inlineStr">
        <is>
          <t>$1,200-$1,799</t>
        </is>
      </c>
      <c r="F176" s="11" t="n">
        <v>5</v>
      </c>
      <c r="G176" s="11" t="n">
        <v>10</v>
      </c>
      <c r="H176" s="11" t="n">
        <v>48.40000000000001</v>
      </c>
      <c r="I176" s="11" t="n">
        <v>227.8</v>
      </c>
      <c r="J176" s="23" t="n">
        <v>0</v>
      </c>
      <c r="K176" s="33" t="inlineStr">
        <is>
          <t>n/n/n</t>
        </is>
      </c>
      <c r="L176" s="11" t="n">
        <v>751.0925564999999</v>
      </c>
      <c r="M176" s="46" t="n">
        <v>0.3032915158439599</v>
      </c>
      <c r="N176" s="11" t="n">
        <v>-350</v>
      </c>
      <c r="O176" s="11" t="n">
        <v>350</v>
      </c>
    </row>
    <row r="177">
      <c r="A177" s="26" t="inlineStr">
        <is>
          <t>4-Month Total</t>
        </is>
      </c>
      <c r="B177" s="35" t="n"/>
      <c r="C177" s="35" t="n"/>
      <c r="D177" s="35" t="n"/>
      <c r="E177" s="35" t="n"/>
      <c r="F177" s="35" t="n"/>
      <c r="G177" s="35" t="n"/>
      <c r="H177" s="35" t="n"/>
      <c r="I177" s="27" t="n">
        <v>1160.6</v>
      </c>
      <c r="J177" s="27" t="n">
        <v>356.4</v>
      </c>
      <c r="K177" s="35" t="n"/>
      <c r="L177" s="35" t="n"/>
      <c r="M177" s="35" t="n"/>
      <c r="N177" s="27" t="n">
        <v>-1583.6</v>
      </c>
      <c r="O177" s="27" t="n">
        <v>1940</v>
      </c>
    </row>
    <row r="179">
      <c r="A179" s="47" t="inlineStr">
        <is>
          <t>PROPOSAL B - COVERAGE-BASED</t>
        </is>
      </c>
    </row>
    <row r="180">
      <c r="A180" s="6" t="inlineStr">
        <is>
          <t>Month</t>
        </is>
      </c>
      <c r="B180" s="6" t="inlineStr">
        <is>
          <t>NB Base ($10 x ct)</t>
        </is>
      </c>
      <c r="C180" s="6" t="inlineStr">
        <is>
          <t>NB Liab Add ($5 x 35%)</t>
        </is>
      </c>
      <c r="D180" s="6" t="inlineStr">
        <is>
          <t>NB Target (w/ kicker)</t>
        </is>
      </c>
      <c r="E180" s="6" t="inlineStr">
        <is>
          <t>REN Base ($6 x ct)</t>
        </is>
      </c>
      <c r="F180" s="6" t="inlineStr">
        <is>
          <t>REN Liab Add ($3 x 30%)</t>
        </is>
      </c>
      <c r="G180" s="6" t="inlineStr">
        <is>
          <t>REN Target (w/ kicker)</t>
        </is>
      </c>
      <c r="H180" s="6" t="inlineStr">
        <is>
          <t>RWR Target (w/ kicker)</t>
        </is>
      </c>
      <c r="I180" s="6" t="inlineStr">
        <is>
          <t>Total Target (no min)</t>
        </is>
      </c>
      <c r="J180" s="6" t="inlineStr">
        <is>
          <t>PAID after MIN</t>
        </is>
      </c>
      <c r="K180" s="6" t="inlineStr">
        <is>
          <t>Gates (NB/REN/RWR)</t>
        </is>
      </c>
      <c r="L180" s="6" t="inlineStr">
        <is>
          <t>Safe Net</t>
        </is>
      </c>
      <c r="M180" s="6" t="inlineStr">
        <is>
          <t>Bonus % SN</t>
        </is>
      </c>
      <c r="N180" s="6" t="inlineStr">
        <is>
          <t>vs Current</t>
        </is>
      </c>
      <c r="O180" s="6" t="inlineStr">
        <is>
          <t>Current Bonus</t>
        </is>
      </c>
    </row>
    <row r="181">
      <c r="A181" s="15" t="inlineStr">
        <is>
          <t>January</t>
        </is>
      </c>
      <c r="B181" s="14" t="n">
        <v>230</v>
      </c>
      <c r="C181" s="14" t="n">
        <v>40.24999999999999</v>
      </c>
      <c r="D181" s="14" t="n">
        <v>297.275</v>
      </c>
      <c r="E181" s="14" t="n">
        <v>36</v>
      </c>
      <c r="F181" s="14" t="n">
        <v>5.399999999999999</v>
      </c>
      <c r="G181" s="14" t="n">
        <v>45.54</v>
      </c>
      <c r="H181" s="14" t="n">
        <v>81.40000000000001</v>
      </c>
      <c r="I181" s="14" t="n">
        <v>424.215</v>
      </c>
      <c r="J181" s="24" t="n">
        <v>0</v>
      </c>
      <c r="K181" s="33" t="inlineStr">
        <is>
          <t>n/n/n</t>
        </is>
      </c>
      <c r="L181" s="14" t="n">
        <v>881.8112159999998</v>
      </c>
      <c r="M181" s="48" t="n">
        <v>0.4810723568750798</v>
      </c>
      <c r="N181" s="14" t="n">
        <v>-550</v>
      </c>
      <c r="O181" s="14" t="n">
        <v>550</v>
      </c>
    </row>
    <row r="182">
      <c r="A182" s="15" t="inlineStr">
        <is>
          <t>February</t>
        </is>
      </c>
      <c r="B182" s="14" t="n">
        <v>210</v>
      </c>
      <c r="C182" s="14" t="n">
        <v>36.75</v>
      </c>
      <c r="D182" s="14" t="n">
        <v>271.425</v>
      </c>
      <c r="E182" s="14" t="n">
        <v>12</v>
      </c>
      <c r="F182" s="14" t="n">
        <v>1.8</v>
      </c>
      <c r="G182" s="14" t="n">
        <v>13.8</v>
      </c>
      <c r="H182" s="14" t="n">
        <v>63.8</v>
      </c>
      <c r="I182" s="14" t="n">
        <v>349.025</v>
      </c>
      <c r="J182" s="24" t="n">
        <v>0</v>
      </c>
      <c r="K182" s="33" t="inlineStr">
        <is>
          <t>n/n/n</t>
        </is>
      </c>
      <c r="L182" s="14" t="n">
        <v>759.0858164999999</v>
      </c>
      <c r="M182" s="48" t="n">
        <v>0.459796497857499</v>
      </c>
      <c r="N182" s="14" t="n">
        <v>-450</v>
      </c>
      <c r="O182" s="14" t="n">
        <v>450</v>
      </c>
    </row>
    <row r="183">
      <c r="A183" s="15" t="inlineStr">
        <is>
          <t>March</t>
        </is>
      </c>
      <c r="B183" s="14" t="n">
        <v>360</v>
      </c>
      <c r="C183" s="14" t="n">
        <v>63</v>
      </c>
      <c r="D183" s="14" t="n">
        <v>465.3</v>
      </c>
      <c r="E183" s="14" t="n">
        <v>0</v>
      </c>
      <c r="F183" s="14" t="n">
        <v>0</v>
      </c>
      <c r="G183" s="14" t="n">
        <v>0</v>
      </c>
      <c r="H183" s="14" t="n">
        <v>56</v>
      </c>
      <c r="I183" s="14" t="n">
        <v>521.3</v>
      </c>
      <c r="J183" s="24" t="n">
        <v>465.3</v>
      </c>
      <c r="K183" s="51" t="inlineStr">
        <is>
          <t>Y/n/n</t>
        </is>
      </c>
      <c r="L183" s="14" t="n">
        <v>1215.341424</v>
      </c>
      <c r="M183" s="48" t="n">
        <v>0.4289329646020524</v>
      </c>
      <c r="N183" s="14" t="n">
        <v>-124.7</v>
      </c>
      <c r="O183" s="14" t="n">
        <v>590</v>
      </c>
    </row>
    <row r="184">
      <c r="A184" s="15" t="inlineStr">
        <is>
          <t>April</t>
        </is>
      </c>
      <c r="B184" s="14" t="n">
        <v>220</v>
      </c>
      <c r="C184" s="14" t="n">
        <v>38.5</v>
      </c>
      <c r="D184" s="14" t="n">
        <v>284.35</v>
      </c>
      <c r="E184" s="14" t="n">
        <v>12</v>
      </c>
      <c r="F184" s="14" t="n">
        <v>1.8</v>
      </c>
      <c r="G184" s="14" t="n">
        <v>13.8</v>
      </c>
      <c r="H184" s="14" t="n">
        <v>48.40000000000001</v>
      </c>
      <c r="I184" s="14" t="n">
        <v>346.5500000000001</v>
      </c>
      <c r="J184" s="24" t="n">
        <v>0</v>
      </c>
      <c r="K184" s="33" t="inlineStr">
        <is>
          <t>n/n/n</t>
        </is>
      </c>
      <c r="L184" s="14" t="n">
        <v>751.0925564999999</v>
      </c>
      <c r="M184" s="48" t="n">
        <v>0.4613945338706071</v>
      </c>
      <c r="N184" s="14" t="n">
        <v>-350</v>
      </c>
      <c r="O184" s="14" t="n">
        <v>350</v>
      </c>
    </row>
    <row r="185">
      <c r="A185" s="26" t="inlineStr">
        <is>
          <t>4-Month Total</t>
        </is>
      </c>
      <c r="B185" s="35" t="n"/>
      <c r="C185" s="35" t="n"/>
      <c r="D185" s="35" t="n"/>
      <c r="E185" s="35" t="n"/>
      <c r="F185" s="35" t="n"/>
      <c r="G185" s="35" t="n"/>
      <c r="H185" s="35" t="n"/>
      <c r="I185" s="27" t="n">
        <v>1641.09</v>
      </c>
      <c r="J185" s="27" t="n">
        <v>465.3</v>
      </c>
      <c r="K185" s="35" t="n"/>
      <c r="L185" s="35" t="n"/>
      <c r="M185" s="35" t="n"/>
      <c r="N185" s="27" t="n">
        <v>-1474.7</v>
      </c>
      <c r="O185" s="27" t="n">
        <v>1940</v>
      </c>
    </row>
    <row r="187">
      <c r="A187" s="49" t="inlineStr">
        <is>
          <t>PROPOSAL C - PERSISTENCY (BONUS IDEA)</t>
        </is>
      </c>
    </row>
    <row r="188">
      <c r="A188" s="6" t="inlineStr">
        <is>
          <t>Month</t>
        </is>
      </c>
      <c r="B188" s="6" t="inlineStr">
        <is>
          <t>NB ($8 x ct)</t>
        </is>
      </c>
      <c r="C188" s="6" t="inlineStr">
        <is>
          <t>REN ($8 x ct)</t>
        </is>
      </c>
      <c r="D188" s="6" t="inlineStr">
        <is>
          <t>RWR ($1 x ct)</t>
        </is>
      </c>
      <c r="E188" s="6" t="inlineStr">
        <is>
          <t>NB Target</t>
        </is>
      </c>
      <c r="F188" s="6" t="inlineStr">
        <is>
          <t>REN Target</t>
        </is>
      </c>
      <c r="G188" s="6" t="inlineStr">
        <is>
          <t>RWR Target</t>
        </is>
      </c>
      <c r="H188" s="6" t="inlineStr">
        <is>
          <t>Total Target (no min)</t>
        </is>
      </c>
      <c r="I188" s="6" t="inlineStr">
        <is>
          <t>PAID after MIN</t>
        </is>
      </c>
      <c r="J188" s="6" t="inlineStr">
        <is>
          <t>Gates (NB/REN/RWR)</t>
        </is>
      </c>
      <c r="K188" s="6" t="inlineStr">
        <is>
          <t>Safe Net</t>
        </is>
      </c>
      <c r="L188" s="6" t="inlineStr">
        <is>
          <t>Bonus % SN</t>
        </is>
      </c>
      <c r="M188" s="6" t="inlineStr">
        <is>
          <t>vs Current</t>
        </is>
      </c>
      <c r="N188" s="6" t="inlineStr">
        <is>
          <t>Current Bonus</t>
        </is>
      </c>
    </row>
    <row r="189">
      <c r="A189" s="18" t="inlineStr">
        <is>
          <t>January</t>
        </is>
      </c>
      <c r="B189" s="17" t="n">
        <v>184</v>
      </c>
      <c r="C189" s="17" t="n">
        <v>48</v>
      </c>
      <c r="D189" s="17" t="n">
        <v>37</v>
      </c>
      <c r="E189" s="17" t="n">
        <v>202.4</v>
      </c>
      <c r="F189" s="17" t="n">
        <v>52.8</v>
      </c>
      <c r="G189" s="17" t="n">
        <v>40.7</v>
      </c>
      <c r="H189" s="17" t="n">
        <v>295.9</v>
      </c>
      <c r="I189" s="25" t="n">
        <v>0</v>
      </c>
      <c r="J189" s="33" t="inlineStr">
        <is>
          <t>n/n/n</t>
        </is>
      </c>
      <c r="K189" s="17" t="n">
        <v>881.8112159999998</v>
      </c>
      <c r="L189" s="50" t="n">
        <v>0.3355593517422442</v>
      </c>
      <c r="M189" s="17" t="n">
        <v>-550</v>
      </c>
      <c r="N189" s="17" t="n">
        <v>550</v>
      </c>
    </row>
    <row r="190">
      <c r="A190" s="18" t="inlineStr">
        <is>
          <t>February</t>
        </is>
      </c>
      <c r="B190" s="17" t="n">
        <v>168</v>
      </c>
      <c r="C190" s="17" t="n">
        <v>16</v>
      </c>
      <c r="D190" s="17" t="n">
        <v>29</v>
      </c>
      <c r="E190" s="17" t="n">
        <v>184.8</v>
      </c>
      <c r="F190" s="17" t="n">
        <v>16</v>
      </c>
      <c r="G190" s="17" t="n">
        <v>31.9</v>
      </c>
      <c r="H190" s="17" t="n">
        <v>232.7</v>
      </c>
      <c r="I190" s="25" t="n">
        <v>0</v>
      </c>
      <c r="J190" s="33" t="inlineStr">
        <is>
          <t>n/n/n</t>
        </is>
      </c>
      <c r="K190" s="17" t="n">
        <v>759.0858164999999</v>
      </c>
      <c r="L190" s="50" t="n">
        <v>0.3065529548067903</v>
      </c>
      <c r="M190" s="17" t="n">
        <v>-450</v>
      </c>
      <c r="N190" s="17" t="n">
        <v>450</v>
      </c>
    </row>
    <row r="191">
      <c r="A191" s="18" t="inlineStr">
        <is>
          <t>March</t>
        </is>
      </c>
      <c r="B191" s="17" t="n">
        <v>288</v>
      </c>
      <c r="C191" s="17" t="n">
        <v>0</v>
      </c>
      <c r="D191" s="17" t="n">
        <v>28</v>
      </c>
      <c r="E191" s="17" t="n">
        <v>316.8</v>
      </c>
      <c r="F191" s="17" t="n">
        <v>0</v>
      </c>
      <c r="G191" s="17" t="n">
        <v>28</v>
      </c>
      <c r="H191" s="17" t="n">
        <v>344.8</v>
      </c>
      <c r="I191" s="25" t="n">
        <v>316.8</v>
      </c>
      <c r="J191" s="51" t="inlineStr">
        <is>
          <t>Y/n/n</t>
        </is>
      </c>
      <c r="K191" s="17" t="n">
        <v>1215.341424</v>
      </c>
      <c r="L191" s="50" t="n">
        <v>0.2837062846629343</v>
      </c>
      <c r="M191" s="17" t="n">
        <v>-273.2</v>
      </c>
      <c r="N191" s="17" t="n">
        <v>590</v>
      </c>
    </row>
    <row r="192">
      <c r="A192" s="18" t="inlineStr">
        <is>
          <t>April</t>
        </is>
      </c>
      <c r="B192" s="17" t="n">
        <v>176</v>
      </c>
      <c r="C192" s="17" t="n">
        <v>16</v>
      </c>
      <c r="D192" s="17" t="n">
        <v>22</v>
      </c>
      <c r="E192" s="17" t="n">
        <v>193.6</v>
      </c>
      <c r="F192" s="17" t="n">
        <v>16</v>
      </c>
      <c r="G192" s="17" t="n">
        <v>24.2</v>
      </c>
      <c r="H192" s="17" t="n">
        <v>233.8</v>
      </c>
      <c r="I192" s="25" t="n">
        <v>0</v>
      </c>
      <c r="J192" s="33" t="inlineStr">
        <is>
          <t>n/n/n</t>
        </is>
      </c>
      <c r="K192" s="17" t="n">
        <v>751.0925564999999</v>
      </c>
      <c r="L192" s="50" t="n">
        <v>0.311279878860043</v>
      </c>
      <c r="M192" s="17" t="n">
        <v>-350</v>
      </c>
      <c r="N192" s="17" t="n">
        <v>350</v>
      </c>
    </row>
    <row r="193">
      <c r="A193" s="26" t="inlineStr">
        <is>
          <t>4-Month Total</t>
        </is>
      </c>
      <c r="B193" s="35" t="n"/>
      <c r="C193" s="35" t="n"/>
      <c r="D193" s="35" t="n"/>
      <c r="E193" s="35" t="n"/>
      <c r="F193" s="35" t="n"/>
      <c r="G193" s="35" t="n"/>
      <c r="H193" s="27" t="n">
        <v>1107.2</v>
      </c>
      <c r="I193" s="27" t="n">
        <v>316.8</v>
      </c>
      <c r="J193" s="35" t="n"/>
      <c r="K193" s="35" t="n"/>
      <c r="L193" s="35" t="n"/>
      <c r="M193" s="27" t="n">
        <v>-1623.2</v>
      </c>
      <c r="N193" s="27" t="n">
        <v>1940</v>
      </c>
    </row>
  </sheetData>
  <mergeCells count="26">
    <mergeCell ref="A187:R187"/>
    <mergeCell ref="A164:R164"/>
    <mergeCell ref="A75:R75"/>
    <mergeCell ref="A27:R27"/>
    <mergeCell ref="A139:R139"/>
    <mergeCell ref="A179:R179"/>
    <mergeCell ref="A2:R2"/>
    <mergeCell ref="A91:R91"/>
    <mergeCell ref="A4:R4"/>
    <mergeCell ref="A100:R100"/>
    <mergeCell ref="A171:R171"/>
    <mergeCell ref="A147:R147"/>
    <mergeCell ref="A43:R43"/>
    <mergeCell ref="A19:R19"/>
    <mergeCell ref="A115:R115"/>
    <mergeCell ref="A155:R155"/>
    <mergeCell ref="A68:R68"/>
    <mergeCell ref="A83:R83"/>
    <mergeCell ref="A59:R59"/>
    <mergeCell ref="A11:R11"/>
    <mergeCell ref="A51:R51"/>
    <mergeCell ref="A107:R107"/>
    <mergeCell ref="A36:R36"/>
    <mergeCell ref="A123:R123"/>
    <mergeCell ref="A1:R1"/>
    <mergeCell ref="A132:R13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93"/>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20" t="inlineStr">
        <is>
          <t>January</t>
        </is>
      </c>
      <c r="B6" s="21" t="n">
        <v>25</v>
      </c>
      <c r="C6" s="22" t="n">
        <v>38611.42</v>
      </c>
      <c r="D6" s="22" t="n">
        <v>4938.26</v>
      </c>
      <c r="E6" s="44" t="n">
        <v>0.1278963581240991</v>
      </c>
      <c r="F6" s="21" t="n">
        <v>9</v>
      </c>
      <c r="G6" s="22" t="n">
        <v>13759.25</v>
      </c>
      <c r="H6" s="22" t="n">
        <v>3093.08</v>
      </c>
      <c r="I6" s="44" t="n">
        <v>0.224800043607028</v>
      </c>
      <c r="J6" s="21" t="n">
        <v>17</v>
      </c>
      <c r="K6" s="22" t="n">
        <v>21364.25</v>
      </c>
      <c r="L6" s="22" t="n">
        <v>4827.309999999999</v>
      </c>
      <c r="M6" s="44" t="n">
        <v>0.225952701358578</v>
      </c>
      <c r="N6" s="22" t="n">
        <v>1544.4568</v>
      </c>
      <c r="O6" s="22" t="n">
        <v>1256.720588235294</v>
      </c>
      <c r="P6" s="22" t="n">
        <v>12858.65</v>
      </c>
      <c r="Q6" s="22" t="n">
        <v>700.1534924999999</v>
      </c>
      <c r="R6" s="22" t="n">
        <v>280.0613969999999</v>
      </c>
    </row>
    <row r="7">
      <c r="A7" s="20" t="inlineStr">
        <is>
          <t>February</t>
        </is>
      </c>
      <c r="B7" s="21" t="n">
        <v>13</v>
      </c>
      <c r="C7" s="22" t="n">
        <v>25367</v>
      </c>
      <c r="D7" s="22" t="n">
        <v>3258.77</v>
      </c>
      <c r="E7" s="44" t="n">
        <v>0.1284649347577561</v>
      </c>
      <c r="F7" s="21" t="n">
        <v>9</v>
      </c>
      <c r="G7" s="22" t="n">
        <v>15321.5</v>
      </c>
      <c r="H7" s="22" t="n">
        <v>2134.145</v>
      </c>
      <c r="I7" s="44" t="n">
        <v>0.1392908657768495</v>
      </c>
      <c r="J7" s="21" t="n">
        <v>17</v>
      </c>
      <c r="K7" s="22" t="n">
        <v>22838.5</v>
      </c>
      <c r="L7" s="22" t="n">
        <v>3556.305</v>
      </c>
      <c r="M7" s="44" t="n">
        <v>0.1557153490815947</v>
      </c>
      <c r="N7" s="22" t="n">
        <v>1951.307692307692</v>
      </c>
      <c r="O7" s="22" t="n">
        <v>1343.441176470588</v>
      </c>
      <c r="P7" s="22" t="n">
        <v>8949.220000000001</v>
      </c>
      <c r="Q7" s="22" t="n">
        <v>487.285029</v>
      </c>
      <c r="R7" s="22" t="n">
        <v>194.9140116</v>
      </c>
    </row>
    <row r="8">
      <c r="A8" s="20" t="inlineStr">
        <is>
          <t>March</t>
        </is>
      </c>
      <c r="B8" s="21" t="n">
        <v>30</v>
      </c>
      <c r="C8" s="22" t="n">
        <v>46523.37</v>
      </c>
      <c r="D8" s="22" t="n">
        <v>6523.33</v>
      </c>
      <c r="E8" s="44" t="n">
        <v>0.140216196720057</v>
      </c>
      <c r="F8" s="21" t="n">
        <v>9</v>
      </c>
      <c r="G8" s="22" t="n">
        <v>12613.8</v>
      </c>
      <c r="H8" s="22" t="n">
        <v>2922.425</v>
      </c>
      <c r="I8" s="44" t="n">
        <v>0.2316847421078502</v>
      </c>
      <c r="J8" s="21" t="n">
        <v>13</v>
      </c>
      <c r="K8" s="22" t="n">
        <v>16514.8</v>
      </c>
      <c r="L8" s="22" t="n">
        <v>4196.505</v>
      </c>
      <c r="M8" s="44" t="n">
        <v>0.2541057112408264</v>
      </c>
      <c r="N8" s="22" t="n">
        <v>1550.779</v>
      </c>
      <c r="O8" s="22" t="n">
        <v>1270.369230769231</v>
      </c>
      <c r="P8" s="22" t="n">
        <v>13642.26</v>
      </c>
      <c r="Q8" s="22" t="n">
        <v>742.8210570000001</v>
      </c>
      <c r="R8" s="22" t="n">
        <v>297.1284228000001</v>
      </c>
    </row>
    <row r="9">
      <c r="A9" s="20" t="inlineStr">
        <is>
          <t>April</t>
        </is>
      </c>
      <c r="B9" s="21" t="n">
        <v>27</v>
      </c>
      <c r="C9" s="22" t="n">
        <v>37825.93</v>
      </c>
      <c r="D9" s="22" t="n">
        <v>8163.72</v>
      </c>
      <c r="E9" s="44" t="n">
        <v>0.2158233783016042</v>
      </c>
      <c r="F9" s="21" t="n">
        <v>7</v>
      </c>
      <c r="G9" s="22" t="n">
        <v>7680.975</v>
      </c>
      <c r="H9" s="22" t="n">
        <v>1983.905</v>
      </c>
      <c r="I9" s="44" t="n">
        <v>0.2582881730509473</v>
      </c>
      <c r="J9" s="21" t="n">
        <v>21</v>
      </c>
      <c r="K9" s="22" t="n">
        <v>18616.965</v>
      </c>
      <c r="L9" s="22" t="n">
        <v>7423.094999999999</v>
      </c>
      <c r="M9" s="44" t="n">
        <v>0.398727451010409</v>
      </c>
      <c r="N9" s="22" t="n">
        <v>1400.96037037037</v>
      </c>
      <c r="O9" s="22" t="n">
        <v>886.5221428571429</v>
      </c>
      <c r="P9" s="22" t="n">
        <v>17570.72</v>
      </c>
      <c r="Q9" s="22" t="n">
        <v>956.725704</v>
      </c>
      <c r="R9" s="22" t="n">
        <v>382.6902816</v>
      </c>
    </row>
    <row r="11">
      <c r="A11" s="45" t="inlineStr">
        <is>
          <t>PROPOSAL A - PREMIUM-BASED</t>
        </is>
      </c>
    </row>
    <row r="12">
      <c r="A12" s="6" t="inlineStr">
        <is>
          <t>Month</t>
        </is>
      </c>
      <c r="B12" s="6" t="inlineStr">
        <is>
          <t>NB Tier</t>
        </is>
      </c>
      <c r="C12" s="6" t="inlineStr">
        <is>
          <t>NB Per-Policy $</t>
        </is>
      </c>
      <c r="D12" s="6" t="inlineStr">
        <is>
          <t>NB Target (w/ kicker)</t>
        </is>
      </c>
      <c r="E12" s="6" t="inlineStr">
        <is>
          <t>REN Tier</t>
        </is>
      </c>
      <c r="F12" s="6" t="inlineStr">
        <is>
          <t>REN Per-Policy $</t>
        </is>
      </c>
      <c r="G12" s="6" t="inlineStr">
        <is>
          <t>REN Target (w/ kicker)</t>
        </is>
      </c>
      <c r="H12" s="6" t="inlineStr">
        <is>
          <t>RWR Target (w/ kicker)</t>
        </is>
      </c>
      <c r="I12" s="6" t="inlineStr">
        <is>
          <t>Total Target (no min)</t>
        </is>
      </c>
      <c r="J12" s="6" t="inlineStr">
        <is>
          <t>PAID after MIN</t>
        </is>
      </c>
      <c r="K12" s="6" t="inlineStr">
        <is>
          <t>Gates (NB/REN/RWR)</t>
        </is>
      </c>
      <c r="L12" s="6" t="inlineStr">
        <is>
          <t>Safe Net</t>
        </is>
      </c>
      <c r="M12" s="6" t="inlineStr">
        <is>
          <t>Bonus % SN</t>
        </is>
      </c>
      <c r="N12" s="6" t="inlineStr">
        <is>
          <t>vs Current</t>
        </is>
      </c>
      <c r="O12" s="6" t="inlineStr">
        <is>
          <t>Current Bonus</t>
        </is>
      </c>
    </row>
    <row r="13">
      <c r="A13" s="12" t="inlineStr">
        <is>
          <t>January</t>
        </is>
      </c>
      <c r="B13" s="12" t="inlineStr">
        <is>
          <t>$1,200-$1,799</t>
        </is>
      </c>
      <c r="C13" s="11" t="n">
        <v>7</v>
      </c>
      <c r="D13" s="11" t="n">
        <v>175</v>
      </c>
      <c r="E13" s="12" t="inlineStr">
        <is>
          <t>$1,200-$1,799</t>
        </is>
      </c>
      <c r="F13" s="11" t="n">
        <v>5</v>
      </c>
      <c r="G13" s="11" t="n">
        <v>93.50000000000001</v>
      </c>
      <c r="H13" s="11" t="n">
        <v>19.8</v>
      </c>
      <c r="I13" s="11" t="n">
        <v>288.3</v>
      </c>
      <c r="J13" s="23" t="n">
        <v>0</v>
      </c>
      <c r="K13" s="33" t="inlineStr">
        <is>
          <t>n/n/n</t>
        </is>
      </c>
      <c r="L13" s="11" t="n">
        <v>700.1534924999999</v>
      </c>
      <c r="M13" s="46" t="n">
        <v>0.4117668526805214</v>
      </c>
      <c r="N13" s="11" t="n">
        <v>-250</v>
      </c>
      <c r="O13" s="11" t="n">
        <v>250</v>
      </c>
    </row>
    <row r="14">
      <c r="A14" s="12" t="inlineStr">
        <is>
          <t>February</t>
        </is>
      </c>
      <c r="B14" s="12" t="inlineStr">
        <is>
          <t>$1,800-$2,199</t>
        </is>
      </c>
      <c r="C14" s="11" t="n">
        <v>9</v>
      </c>
      <c r="D14" s="11" t="n">
        <v>117</v>
      </c>
      <c r="E14" s="12" t="inlineStr">
        <is>
          <t>$1,200-$1,799</t>
        </is>
      </c>
      <c r="F14" s="11" t="n">
        <v>5</v>
      </c>
      <c r="G14" s="11" t="n">
        <v>93.50000000000001</v>
      </c>
      <c r="H14" s="11" t="n">
        <v>18</v>
      </c>
      <c r="I14" s="11" t="n">
        <v>228.5</v>
      </c>
      <c r="J14" s="23" t="n">
        <v>0</v>
      </c>
      <c r="K14" s="33" t="inlineStr">
        <is>
          <t>n/n/n</t>
        </is>
      </c>
      <c r="L14" s="11" t="n">
        <v>487.285029</v>
      </c>
      <c r="M14" s="46" t="n">
        <v>0.4689247286519857</v>
      </c>
      <c r="N14" s="11" t="n">
        <v>0</v>
      </c>
      <c r="O14" s="11" t="n">
        <v>0</v>
      </c>
    </row>
    <row r="15">
      <c r="A15" s="12" t="inlineStr">
        <is>
          <t>March</t>
        </is>
      </c>
      <c r="B15" s="12" t="inlineStr">
        <is>
          <t>$1,200-$1,799</t>
        </is>
      </c>
      <c r="C15" s="11" t="n">
        <v>7</v>
      </c>
      <c r="D15" s="11" t="n">
        <v>210</v>
      </c>
      <c r="E15" s="12" t="inlineStr">
        <is>
          <t>$1,200-$1,799</t>
        </is>
      </c>
      <c r="F15" s="11" t="n">
        <v>5</v>
      </c>
      <c r="G15" s="11" t="n">
        <v>74.75</v>
      </c>
      <c r="H15" s="11" t="n">
        <v>19.8</v>
      </c>
      <c r="I15" s="11" t="n">
        <v>304.55</v>
      </c>
      <c r="J15" s="23" t="n">
        <v>0</v>
      </c>
      <c r="K15" s="33" t="inlineStr">
        <is>
          <t>n/n/n</t>
        </is>
      </c>
      <c r="L15" s="11" t="n">
        <v>742.8210570000001</v>
      </c>
      <c r="M15" s="46" t="n">
        <v>0.4099910700296693</v>
      </c>
      <c r="N15" s="11" t="n">
        <v>-350</v>
      </c>
      <c r="O15" s="11" t="n">
        <v>350</v>
      </c>
    </row>
    <row r="16">
      <c r="A16" s="12" t="inlineStr">
        <is>
          <t>April</t>
        </is>
      </c>
      <c r="B16" s="12" t="inlineStr">
        <is>
          <t>$1,200-$1,799</t>
        </is>
      </c>
      <c r="C16" s="11" t="n">
        <v>7</v>
      </c>
      <c r="D16" s="11" t="n">
        <v>207.9</v>
      </c>
      <c r="E16" s="12" t="inlineStr">
        <is>
          <t>Under $1,200</t>
        </is>
      </c>
      <c r="F16" s="11" t="n">
        <v>4</v>
      </c>
      <c r="G16" s="11" t="n">
        <v>96.59999999999999</v>
      </c>
      <c r="H16" s="11" t="n">
        <v>16.1</v>
      </c>
      <c r="I16" s="11" t="n">
        <v>320.6</v>
      </c>
      <c r="J16" s="23" t="n">
        <v>0</v>
      </c>
      <c r="K16" s="33" t="inlineStr">
        <is>
          <t>n/n/n</t>
        </is>
      </c>
      <c r="L16" s="11" t="n">
        <v>956.725704</v>
      </c>
      <c r="M16" s="46" t="n">
        <v>0.3351012716179726</v>
      </c>
      <c r="N16" s="11" t="n">
        <v>-250</v>
      </c>
      <c r="O16" s="11" t="n">
        <v>250</v>
      </c>
    </row>
    <row r="17">
      <c r="A17" s="26" t="inlineStr">
        <is>
          <t>4-Month Total</t>
        </is>
      </c>
      <c r="B17" s="35" t="n"/>
      <c r="C17" s="35" t="n"/>
      <c r="D17" s="35" t="n"/>
      <c r="E17" s="35" t="n"/>
      <c r="F17" s="35" t="n"/>
      <c r="G17" s="35" t="n"/>
      <c r="H17" s="35" t="n"/>
      <c r="I17" s="27" t="n">
        <v>1141.95</v>
      </c>
      <c r="J17" s="27" t="n">
        <v>0</v>
      </c>
      <c r="K17" s="35" t="n"/>
      <c r="L17" s="35" t="n"/>
      <c r="M17" s="35" t="n"/>
      <c r="N17" s="27" t="n">
        <v>-850</v>
      </c>
      <c r="O17" s="27" t="n">
        <v>850</v>
      </c>
    </row>
    <row r="19">
      <c r="A19" s="47"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15" t="inlineStr">
        <is>
          <t>January</t>
        </is>
      </c>
      <c r="B21" s="14" t="n">
        <v>250</v>
      </c>
      <c r="C21" s="14" t="n">
        <v>43.75</v>
      </c>
      <c r="D21" s="14" t="n">
        <v>293.75</v>
      </c>
      <c r="E21" s="14" t="n">
        <v>102</v>
      </c>
      <c r="F21" s="14" t="n">
        <v>15.3</v>
      </c>
      <c r="G21" s="14" t="n">
        <v>129.03</v>
      </c>
      <c r="H21" s="14" t="n">
        <v>19.8</v>
      </c>
      <c r="I21" s="14" t="n">
        <v>442.58</v>
      </c>
      <c r="J21" s="24" t="n">
        <v>0</v>
      </c>
      <c r="K21" s="33" t="inlineStr">
        <is>
          <t>n/n/n</t>
        </is>
      </c>
      <c r="L21" s="14" t="n">
        <v>700.1534924999999</v>
      </c>
      <c r="M21" s="48" t="n">
        <v>0.6321185350653665</v>
      </c>
      <c r="N21" s="14" t="n">
        <v>-250</v>
      </c>
      <c r="O21" s="14" t="n">
        <v>250</v>
      </c>
    </row>
    <row r="22">
      <c r="A22" s="15" t="inlineStr">
        <is>
          <t>February</t>
        </is>
      </c>
      <c r="B22" s="14" t="n">
        <v>130</v>
      </c>
      <c r="C22" s="14" t="n">
        <v>22.75</v>
      </c>
      <c r="D22" s="14" t="n">
        <v>152.75</v>
      </c>
      <c r="E22" s="14" t="n">
        <v>102</v>
      </c>
      <c r="F22" s="14" t="n">
        <v>15.3</v>
      </c>
      <c r="G22" s="14" t="n">
        <v>129.03</v>
      </c>
      <c r="H22" s="14" t="n">
        <v>18</v>
      </c>
      <c r="I22" s="14" t="n">
        <v>299.78</v>
      </c>
      <c r="J22" s="24" t="n">
        <v>0</v>
      </c>
      <c r="K22" s="33" t="inlineStr">
        <is>
          <t>n/n/n</t>
        </is>
      </c>
      <c r="L22" s="14" t="n">
        <v>487.285029</v>
      </c>
      <c r="M22" s="48" t="n">
        <v>0.6152046177474497</v>
      </c>
      <c r="N22" s="14" t="n">
        <v>0</v>
      </c>
      <c r="O22" s="14" t="n">
        <v>0</v>
      </c>
    </row>
    <row r="23">
      <c r="A23" s="15" t="inlineStr">
        <is>
          <t>March</t>
        </is>
      </c>
      <c r="B23" s="14" t="n">
        <v>300</v>
      </c>
      <c r="C23" s="14" t="n">
        <v>52.5</v>
      </c>
      <c r="D23" s="14" t="n">
        <v>352.5</v>
      </c>
      <c r="E23" s="14" t="n">
        <v>78</v>
      </c>
      <c r="F23" s="14" t="n">
        <v>11.7</v>
      </c>
      <c r="G23" s="14" t="n">
        <v>103.155</v>
      </c>
      <c r="H23" s="14" t="n">
        <v>19.8</v>
      </c>
      <c r="I23" s="14" t="n">
        <v>475.455</v>
      </c>
      <c r="J23" s="24" t="n">
        <v>0</v>
      </c>
      <c r="K23" s="33" t="inlineStr">
        <is>
          <t>n/n/n</t>
        </is>
      </c>
      <c r="L23" s="14" t="n">
        <v>742.8210570000001</v>
      </c>
      <c r="M23" s="48" t="n">
        <v>0.6400666695155357</v>
      </c>
      <c r="N23" s="14" t="n">
        <v>-350</v>
      </c>
      <c r="O23" s="14" t="n">
        <v>350</v>
      </c>
    </row>
    <row r="24">
      <c r="A24" s="15" t="inlineStr">
        <is>
          <t>April</t>
        </is>
      </c>
      <c r="B24" s="14" t="n">
        <v>270</v>
      </c>
      <c r="C24" s="14" t="n">
        <v>47.25</v>
      </c>
      <c r="D24" s="14" t="n">
        <v>348.975</v>
      </c>
      <c r="E24" s="14" t="n">
        <v>126</v>
      </c>
      <c r="F24" s="14" t="n">
        <v>18.9</v>
      </c>
      <c r="G24" s="14" t="n">
        <v>166.635</v>
      </c>
      <c r="H24" s="14" t="n">
        <v>16.1</v>
      </c>
      <c r="I24" s="14" t="n">
        <v>531.71</v>
      </c>
      <c r="J24" s="24" t="n">
        <v>0</v>
      </c>
      <c r="K24" s="33" t="inlineStr">
        <is>
          <t>n/n/n</t>
        </is>
      </c>
      <c r="L24" s="14" t="n">
        <v>956.725704</v>
      </c>
      <c r="M24" s="48" t="n">
        <v>0.5557601282969189</v>
      </c>
      <c r="N24" s="14" t="n">
        <v>-250</v>
      </c>
      <c r="O24" s="14" t="n">
        <v>250</v>
      </c>
    </row>
    <row r="25">
      <c r="A25" s="26" t="inlineStr">
        <is>
          <t>4-Month Total</t>
        </is>
      </c>
      <c r="B25" s="35" t="n"/>
      <c r="C25" s="35" t="n"/>
      <c r="D25" s="35" t="n"/>
      <c r="E25" s="35" t="n"/>
      <c r="F25" s="35" t="n"/>
      <c r="G25" s="35" t="n"/>
      <c r="H25" s="35" t="n"/>
      <c r="I25" s="27" t="n">
        <v>1749.525</v>
      </c>
      <c r="J25" s="27" t="n">
        <v>0</v>
      </c>
      <c r="K25" s="35" t="n"/>
      <c r="L25" s="35" t="n"/>
      <c r="M25" s="35" t="n"/>
      <c r="N25" s="27" t="n">
        <v>-850</v>
      </c>
      <c r="O25" s="27" t="n">
        <v>850</v>
      </c>
    </row>
    <row r="27">
      <c r="A27" s="49" t="inlineStr">
        <is>
          <t>PROPOSAL C - PERSISTENCY (BONUS IDEA)</t>
        </is>
      </c>
    </row>
    <row r="28">
      <c r="A28" s="6" t="inlineStr">
        <is>
          <t>Month</t>
        </is>
      </c>
      <c r="B28" s="6" t="inlineStr">
        <is>
          <t>NB ($8 x ct)</t>
        </is>
      </c>
      <c r="C28" s="6" t="inlineStr">
        <is>
          <t>REN ($8 x ct)</t>
        </is>
      </c>
      <c r="D28" s="6" t="inlineStr">
        <is>
          <t>RWR ($1 x ct)</t>
        </is>
      </c>
      <c r="E28" s="6" t="inlineStr">
        <is>
          <t>NB Target</t>
        </is>
      </c>
      <c r="F28" s="6" t="inlineStr">
        <is>
          <t>REN Target</t>
        </is>
      </c>
      <c r="G28" s="6" t="inlineStr">
        <is>
          <t>RWR Target</t>
        </is>
      </c>
      <c r="H28" s="6" t="inlineStr">
        <is>
          <t>Total Target (no min)</t>
        </is>
      </c>
      <c r="I28" s="6" t="inlineStr">
        <is>
          <t>PAID after MIN</t>
        </is>
      </c>
      <c r="J28" s="6" t="inlineStr">
        <is>
          <t>Gates (NB/REN/RWR)</t>
        </is>
      </c>
      <c r="K28" s="6" t="inlineStr">
        <is>
          <t>Safe Net</t>
        </is>
      </c>
      <c r="L28" s="6" t="inlineStr">
        <is>
          <t>Bonus % SN</t>
        </is>
      </c>
      <c r="M28" s="6" t="inlineStr">
        <is>
          <t>vs Current</t>
        </is>
      </c>
      <c r="N28" s="6" t="inlineStr">
        <is>
          <t>Current Bonus</t>
        </is>
      </c>
    </row>
    <row r="29">
      <c r="A29" s="18" t="inlineStr">
        <is>
          <t>January</t>
        </is>
      </c>
      <c r="B29" s="17" t="n">
        <v>200</v>
      </c>
      <c r="C29" s="17" t="n">
        <v>136</v>
      </c>
      <c r="D29" s="17" t="n">
        <v>9</v>
      </c>
      <c r="E29" s="17" t="n">
        <v>200</v>
      </c>
      <c r="F29" s="17" t="n">
        <v>149.6</v>
      </c>
      <c r="G29" s="17" t="n">
        <v>9.9</v>
      </c>
      <c r="H29" s="17" t="n">
        <v>359.5</v>
      </c>
      <c r="I29" s="25" t="n">
        <v>0</v>
      </c>
      <c r="J29" s="33" t="inlineStr">
        <is>
          <t>n/n/n</t>
        </is>
      </c>
      <c r="K29" s="17" t="n">
        <v>700.1534924999999</v>
      </c>
      <c r="L29" s="50" t="n">
        <v>0.5134588398843131</v>
      </c>
      <c r="M29" s="17" t="n">
        <v>-250</v>
      </c>
      <c r="N29" s="17" t="n">
        <v>250</v>
      </c>
    </row>
    <row r="30">
      <c r="A30" s="18" t="inlineStr">
        <is>
          <t>February</t>
        </is>
      </c>
      <c r="B30" s="17" t="n">
        <v>104</v>
      </c>
      <c r="C30" s="17" t="n">
        <v>136</v>
      </c>
      <c r="D30" s="17" t="n">
        <v>9</v>
      </c>
      <c r="E30" s="17" t="n">
        <v>104</v>
      </c>
      <c r="F30" s="17" t="n">
        <v>149.6</v>
      </c>
      <c r="G30" s="17" t="n">
        <v>9</v>
      </c>
      <c r="H30" s="17" t="n">
        <v>262.6</v>
      </c>
      <c r="I30" s="25" t="n">
        <v>0</v>
      </c>
      <c r="J30" s="33" t="inlineStr">
        <is>
          <t>n/n/n</t>
        </is>
      </c>
      <c r="K30" s="17" t="n">
        <v>487.285029</v>
      </c>
      <c r="L30" s="50" t="n">
        <v>0.5389043052254331</v>
      </c>
      <c r="M30" s="17" t="n">
        <v>0</v>
      </c>
      <c r="N30" s="17" t="n">
        <v>0</v>
      </c>
    </row>
    <row r="31">
      <c r="A31" s="18" t="inlineStr">
        <is>
          <t>March</t>
        </is>
      </c>
      <c r="B31" s="17" t="n">
        <v>240</v>
      </c>
      <c r="C31" s="17" t="n">
        <v>104</v>
      </c>
      <c r="D31" s="17" t="n">
        <v>9</v>
      </c>
      <c r="E31" s="17" t="n">
        <v>240</v>
      </c>
      <c r="F31" s="17" t="n">
        <v>119.6</v>
      </c>
      <c r="G31" s="17" t="n">
        <v>9.9</v>
      </c>
      <c r="H31" s="17" t="n">
        <v>369.5</v>
      </c>
      <c r="I31" s="25" t="n">
        <v>0</v>
      </c>
      <c r="J31" s="33" t="inlineStr">
        <is>
          <t>n/n/n</t>
        </is>
      </c>
      <c r="K31" s="17" t="n">
        <v>742.8210570000001</v>
      </c>
      <c r="L31" s="50" t="n">
        <v>0.4974280097716723</v>
      </c>
      <c r="M31" s="17" t="n">
        <v>-350</v>
      </c>
      <c r="N31" s="17" t="n">
        <v>350</v>
      </c>
    </row>
    <row r="32">
      <c r="A32" s="18" t="inlineStr">
        <is>
          <t>April</t>
        </is>
      </c>
      <c r="B32" s="17" t="n">
        <v>216</v>
      </c>
      <c r="C32" s="17" t="n">
        <v>168</v>
      </c>
      <c r="D32" s="17" t="n">
        <v>7</v>
      </c>
      <c r="E32" s="17" t="n">
        <v>237.6</v>
      </c>
      <c r="F32" s="17" t="n">
        <v>193.2</v>
      </c>
      <c r="G32" s="17" t="n">
        <v>8.049999999999999</v>
      </c>
      <c r="H32" s="17" t="n">
        <v>438.85</v>
      </c>
      <c r="I32" s="25" t="n">
        <v>0</v>
      </c>
      <c r="J32" s="33" t="inlineStr">
        <is>
          <t>n/n/n</t>
        </is>
      </c>
      <c r="K32" s="17" t="n">
        <v>956.725704</v>
      </c>
      <c r="L32" s="50" t="n">
        <v>0.4586999159374525</v>
      </c>
      <c r="M32" s="17" t="n">
        <v>-250</v>
      </c>
      <c r="N32" s="17" t="n">
        <v>250</v>
      </c>
    </row>
    <row r="33">
      <c r="A33" s="26" t="inlineStr">
        <is>
          <t>4-Month Total</t>
        </is>
      </c>
      <c r="B33" s="35" t="n"/>
      <c r="C33" s="35" t="n"/>
      <c r="D33" s="35" t="n"/>
      <c r="E33" s="35" t="n"/>
      <c r="F33" s="35" t="n"/>
      <c r="G33" s="35" t="n"/>
      <c r="H33" s="27" t="n">
        <v>1430.45</v>
      </c>
      <c r="I33" s="27" t="n">
        <v>0</v>
      </c>
      <c r="J33" s="35" t="n"/>
      <c r="K33" s="35" t="n"/>
      <c r="L33" s="35" t="n"/>
      <c r="M33" s="27" t="n">
        <v>-850</v>
      </c>
      <c r="N33" s="27" t="n">
        <v>850</v>
      </c>
    </row>
    <row r="36" ht="22" customHeight="1">
      <c r="A36" s="5" t="inlineStr">
        <is>
          <t>Dialinerys Dieguez</t>
        </is>
      </c>
    </row>
    <row r="37">
      <c r="A37" s="6" t="inlineStr">
        <is>
          <t>Month</t>
        </is>
      </c>
      <c r="B37" s="6" t="inlineStr">
        <is>
          <t>NB Count</t>
        </is>
      </c>
      <c r="C37" s="6" t="inlineStr">
        <is>
          <t>NB Premium</t>
        </is>
      </c>
      <c r="D37" s="6" t="inlineStr">
        <is>
          <t>NB Collected</t>
        </is>
      </c>
      <c r="E37" s="6" t="inlineStr">
        <is>
          <t>NB Coll %</t>
        </is>
      </c>
      <c r="F37" s="6" t="inlineStr">
        <is>
          <t>RWR Count</t>
        </is>
      </c>
      <c r="G37" s="6" t="inlineStr">
        <is>
          <t>RWR Premium</t>
        </is>
      </c>
      <c r="H37" s="6" t="inlineStr">
        <is>
          <t>RWR Collected</t>
        </is>
      </c>
      <c r="I37" s="6" t="inlineStr">
        <is>
          <t>RWR Coll %</t>
        </is>
      </c>
      <c r="J37" s="6" t="inlineStr">
        <is>
          <t>REN Count</t>
        </is>
      </c>
      <c r="K37" s="6" t="inlineStr">
        <is>
          <t>REN Premium</t>
        </is>
      </c>
      <c r="L37" s="6" t="inlineStr">
        <is>
          <t>REN Collected</t>
        </is>
      </c>
      <c r="M37" s="6" t="inlineStr">
        <is>
          <t>REN Coll %</t>
        </is>
      </c>
      <c r="N37" s="6" t="inlineStr">
        <is>
          <t>Avg NB Prem</t>
        </is>
      </c>
      <c r="O37" s="6" t="inlineStr">
        <is>
          <t>Avg REN Prem</t>
        </is>
      </c>
      <c r="P37" s="6" t="inlineStr">
        <is>
          <t>Total Collected</t>
        </is>
      </c>
      <c r="Q37" s="6" t="inlineStr">
        <is>
          <t>Safe Net</t>
        </is>
      </c>
      <c r="R37" s="6" t="inlineStr">
        <is>
          <t>Cap</t>
        </is>
      </c>
    </row>
    <row r="38">
      <c r="A38" s="20" t="inlineStr">
        <is>
          <t>January</t>
        </is>
      </c>
      <c r="B38" s="21" t="n">
        <v>23</v>
      </c>
      <c r="C38" s="22" t="n">
        <v>40249.26</v>
      </c>
      <c r="D38" s="22" t="n">
        <v>4925</v>
      </c>
      <c r="E38" s="44" t="n">
        <v>0.1223624980931326</v>
      </c>
      <c r="F38" s="21" t="n">
        <v>24</v>
      </c>
      <c r="G38" s="22" t="n">
        <v>32837.69</v>
      </c>
      <c r="H38" s="22" t="n">
        <v>5468.16</v>
      </c>
      <c r="I38" s="44" t="n">
        <v>0.1665208484518856</v>
      </c>
      <c r="J38" s="21" t="n">
        <v>35</v>
      </c>
      <c r="K38" s="22" t="n">
        <v>45368.16</v>
      </c>
      <c r="L38" s="22" t="n">
        <v>10419.75</v>
      </c>
      <c r="M38" s="44" t="n">
        <v>0.229670985113789</v>
      </c>
      <c r="N38" s="22" t="n">
        <v>1749.967826086957</v>
      </c>
      <c r="O38" s="22" t="n">
        <v>1296.233142857143</v>
      </c>
      <c r="P38" s="22" t="n">
        <v>20812.91</v>
      </c>
      <c r="Q38" s="22" t="n">
        <v>1133.2629495</v>
      </c>
      <c r="R38" s="22" t="n">
        <v>453.3051798</v>
      </c>
    </row>
    <row r="39">
      <c r="A39" s="20" t="inlineStr">
        <is>
          <t>February</t>
        </is>
      </c>
      <c r="B39" s="21" t="n">
        <v>23</v>
      </c>
      <c r="C39" s="22" t="n">
        <v>30057.89</v>
      </c>
      <c r="D39" s="22" t="n">
        <v>5766.72</v>
      </c>
      <c r="E39" s="44" t="n">
        <v>0.1918537861440041</v>
      </c>
      <c r="F39" s="21" t="n">
        <v>28</v>
      </c>
      <c r="G39" s="22" t="n">
        <v>42772.3</v>
      </c>
      <c r="H39" s="22" t="n">
        <v>6965.715</v>
      </c>
      <c r="I39" s="44" t="n">
        <v>0.1628557500999478</v>
      </c>
      <c r="J39" s="21" t="n">
        <v>37</v>
      </c>
      <c r="K39" s="22" t="n">
        <v>54401.98</v>
      </c>
      <c r="L39" s="22" t="n">
        <v>8903.315000000001</v>
      </c>
      <c r="M39" s="44" t="n">
        <v>0.1636579220094563</v>
      </c>
      <c r="N39" s="22" t="n">
        <v>1306.864782608696</v>
      </c>
      <c r="O39" s="22" t="n">
        <v>1470.323783783784</v>
      </c>
      <c r="P39" s="22" t="n">
        <v>21635.75</v>
      </c>
      <c r="Q39" s="22" t="n">
        <v>1178.0665875</v>
      </c>
      <c r="R39" s="22" t="n">
        <v>471.2266349999999</v>
      </c>
    </row>
    <row r="40">
      <c r="A40" s="20" t="inlineStr">
        <is>
          <t>March</t>
        </is>
      </c>
      <c r="B40" s="21" t="n">
        <v>38</v>
      </c>
      <c r="C40" s="22" t="n">
        <v>52434.9</v>
      </c>
      <c r="D40" s="22" t="n">
        <v>10546.59</v>
      </c>
      <c r="E40" s="44" t="n">
        <v>0.2011368382508596</v>
      </c>
      <c r="F40" s="21" t="n">
        <v>35</v>
      </c>
      <c r="G40" s="22" t="n">
        <v>48114.175</v>
      </c>
      <c r="H40" s="22" t="n">
        <v>9850.190000000001</v>
      </c>
      <c r="I40" s="44" t="n">
        <v>0.2047253226310126</v>
      </c>
      <c r="J40" s="21" t="n">
        <v>41</v>
      </c>
      <c r="K40" s="22" t="n">
        <v>54076.675</v>
      </c>
      <c r="L40" s="22" t="n">
        <v>12930.19</v>
      </c>
      <c r="M40" s="44" t="n">
        <v>0.2391084511020694</v>
      </c>
      <c r="N40" s="22" t="n">
        <v>1379.865789473684</v>
      </c>
      <c r="O40" s="22" t="n">
        <v>1318.943292682927</v>
      </c>
      <c r="P40" s="22" t="n">
        <v>33326.97</v>
      </c>
      <c r="Q40" s="22" t="n">
        <v>1814.6535165</v>
      </c>
      <c r="R40" s="22" t="n">
        <v>725.8614066</v>
      </c>
    </row>
    <row r="41">
      <c r="A41" s="20" t="inlineStr">
        <is>
          <t>April</t>
        </is>
      </c>
      <c r="B41" s="21" t="n">
        <v>33</v>
      </c>
      <c r="C41" s="22" t="n">
        <v>49689.35</v>
      </c>
      <c r="D41" s="22" t="n">
        <v>8831.440000000001</v>
      </c>
      <c r="E41" s="44" t="n">
        <v>0.1777330554736579</v>
      </c>
      <c r="F41" s="21" t="n">
        <v>22</v>
      </c>
      <c r="G41" s="22" t="n">
        <v>32082.715</v>
      </c>
      <c r="H41" s="22" t="n">
        <v>8334.025</v>
      </c>
      <c r="I41" s="44" t="n">
        <v>0.2597668245969831</v>
      </c>
      <c r="J41" s="21" t="n">
        <v>24</v>
      </c>
      <c r="K41" s="22" t="n">
        <v>51657.715</v>
      </c>
      <c r="L41" s="22" t="n">
        <v>11273.675</v>
      </c>
      <c r="M41" s="44" t="n">
        <v>0.2182379727790902</v>
      </c>
      <c r="N41" s="22" t="n">
        <v>1505.737878787879</v>
      </c>
      <c r="O41" s="22" t="n">
        <v>2152.404791666666</v>
      </c>
      <c r="P41" s="22" t="n">
        <v>28439.14</v>
      </c>
      <c r="Q41" s="22" t="n">
        <v>1548.511173</v>
      </c>
      <c r="R41" s="22" t="n">
        <v>619.4044691999999</v>
      </c>
    </row>
    <row r="43">
      <c r="A43" s="45" t="inlineStr">
        <is>
          <t>PROPOSAL A - PREMIUM-BASED</t>
        </is>
      </c>
    </row>
    <row r="44">
      <c r="A44" s="6" t="inlineStr">
        <is>
          <t>Month</t>
        </is>
      </c>
      <c r="B44" s="6" t="inlineStr">
        <is>
          <t>NB Tier</t>
        </is>
      </c>
      <c r="C44" s="6" t="inlineStr">
        <is>
          <t>NB Per-Policy $</t>
        </is>
      </c>
      <c r="D44" s="6" t="inlineStr">
        <is>
          <t>NB Target (w/ kicker)</t>
        </is>
      </c>
      <c r="E44" s="6" t="inlineStr">
        <is>
          <t>REN Tier</t>
        </is>
      </c>
      <c r="F44" s="6" t="inlineStr">
        <is>
          <t>REN Per-Policy $</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12" t="inlineStr">
        <is>
          <t>January</t>
        </is>
      </c>
      <c r="B45" s="12" t="inlineStr">
        <is>
          <t>$1,200-$1,799</t>
        </is>
      </c>
      <c r="C45" s="11" t="n">
        <v>7</v>
      </c>
      <c r="D45" s="11" t="n">
        <v>161</v>
      </c>
      <c r="E45" s="12" t="inlineStr">
        <is>
          <t>$1,200-$1,799</t>
        </is>
      </c>
      <c r="F45" s="11" t="n">
        <v>5</v>
      </c>
      <c r="G45" s="11" t="n">
        <v>192.5</v>
      </c>
      <c r="H45" s="11" t="n">
        <v>52.8</v>
      </c>
      <c r="I45" s="11" t="n">
        <v>406.3</v>
      </c>
      <c r="J45" s="23" t="n">
        <v>0</v>
      </c>
      <c r="K45" s="33" t="inlineStr">
        <is>
          <t>n/n/n</t>
        </is>
      </c>
      <c r="L45" s="11" t="n">
        <v>1133.2629495</v>
      </c>
      <c r="M45" s="46" t="n">
        <v>0.3585222654453331</v>
      </c>
      <c r="N45" s="11" t="n">
        <v>-350</v>
      </c>
      <c r="O45" s="11" t="n">
        <v>350</v>
      </c>
    </row>
    <row r="46">
      <c r="A46" s="12" t="inlineStr">
        <is>
          <t>February</t>
        </is>
      </c>
      <c r="B46" s="12" t="inlineStr">
        <is>
          <t>$1,200-$1,799</t>
        </is>
      </c>
      <c r="C46" s="11" t="n">
        <v>7</v>
      </c>
      <c r="D46" s="11" t="n">
        <v>177.1</v>
      </c>
      <c r="E46" s="12" t="inlineStr">
        <is>
          <t>$1,200-$1,799</t>
        </is>
      </c>
      <c r="F46" s="11" t="n">
        <v>5</v>
      </c>
      <c r="G46" s="11" t="n">
        <v>203.5</v>
      </c>
      <c r="H46" s="11" t="n">
        <v>61.60000000000001</v>
      </c>
      <c r="I46" s="11" t="n">
        <v>442.2</v>
      </c>
      <c r="J46" s="23" t="n">
        <v>203.5</v>
      </c>
      <c r="K46" s="51" t="inlineStr">
        <is>
          <t>n/Y/n</t>
        </is>
      </c>
      <c r="L46" s="11" t="n">
        <v>1178.0665875</v>
      </c>
      <c r="M46" s="46" t="n">
        <v>0.3753607857925944</v>
      </c>
      <c r="N46" s="11" t="n">
        <v>-256.5</v>
      </c>
      <c r="O46" s="11" t="n">
        <v>460</v>
      </c>
    </row>
    <row r="47">
      <c r="A47" s="12" t="inlineStr">
        <is>
          <t>March</t>
        </is>
      </c>
      <c r="B47" s="12" t="inlineStr">
        <is>
          <t>$1,200-$1,799</t>
        </is>
      </c>
      <c r="C47" s="11" t="n">
        <v>7</v>
      </c>
      <c r="D47" s="11" t="n">
        <v>292.6</v>
      </c>
      <c r="E47" s="12" t="inlineStr">
        <is>
          <t>$1,200-$1,799</t>
        </is>
      </c>
      <c r="F47" s="11" t="n">
        <v>5</v>
      </c>
      <c r="G47" s="11" t="n">
        <v>225.5</v>
      </c>
      <c r="H47" s="11" t="n">
        <v>77</v>
      </c>
      <c r="I47" s="11" t="n">
        <v>595.1</v>
      </c>
      <c r="J47" s="23" t="n">
        <v>595.1</v>
      </c>
      <c r="K47" s="52" t="inlineStr">
        <is>
          <t>Y/Y/Y</t>
        </is>
      </c>
      <c r="L47" s="11" t="n">
        <v>1814.6535165</v>
      </c>
      <c r="M47" s="46" t="n">
        <v>0.3279413918904998</v>
      </c>
      <c r="N47" s="11" t="n">
        <v>-84.89999999999998</v>
      </c>
      <c r="O47" s="11" t="n">
        <v>680</v>
      </c>
    </row>
    <row r="48">
      <c r="A48" s="12" t="inlineStr">
        <is>
          <t>April</t>
        </is>
      </c>
      <c r="B48" s="12" t="inlineStr">
        <is>
          <t>$1,200-$1,799</t>
        </is>
      </c>
      <c r="C48" s="11" t="n">
        <v>7</v>
      </c>
      <c r="D48" s="11" t="n">
        <v>254.1</v>
      </c>
      <c r="E48" s="12" t="inlineStr">
        <is>
          <t>$1,800+</t>
        </is>
      </c>
      <c r="F48" s="11" t="n">
        <v>6</v>
      </c>
      <c r="G48" s="11" t="n">
        <v>158.4</v>
      </c>
      <c r="H48" s="11" t="n">
        <v>50.59999999999999</v>
      </c>
      <c r="I48" s="11" t="n">
        <v>463.1</v>
      </c>
      <c r="J48" s="23" t="n">
        <v>158.4</v>
      </c>
      <c r="K48" s="51" t="inlineStr">
        <is>
          <t>n/Y/n</t>
        </is>
      </c>
      <c r="L48" s="11" t="n">
        <v>1548.511173</v>
      </c>
      <c r="M48" s="46" t="n">
        <v>0.2990614521061645</v>
      </c>
      <c r="N48" s="11" t="n">
        <v>-341.6</v>
      </c>
      <c r="O48" s="11" t="n">
        <v>500</v>
      </c>
    </row>
    <row r="49">
      <c r="A49" s="26" t="inlineStr">
        <is>
          <t>4-Month Total</t>
        </is>
      </c>
      <c r="B49" s="35" t="n"/>
      <c r="C49" s="35" t="n"/>
      <c r="D49" s="35" t="n"/>
      <c r="E49" s="35" t="n"/>
      <c r="F49" s="35" t="n"/>
      <c r="G49" s="35" t="n"/>
      <c r="H49" s="35" t="n"/>
      <c r="I49" s="27" t="n">
        <v>1906.7</v>
      </c>
      <c r="J49" s="27" t="n">
        <v>957</v>
      </c>
      <c r="K49" s="35" t="n"/>
      <c r="L49" s="35" t="n"/>
      <c r="M49" s="35" t="n"/>
      <c r="N49" s="27" t="n">
        <v>-1033</v>
      </c>
      <c r="O49" s="27" t="n">
        <v>1990</v>
      </c>
    </row>
    <row r="51">
      <c r="A51" s="47" t="inlineStr">
        <is>
          <t>PROPOSAL B - COVERAGE-BASED</t>
        </is>
      </c>
    </row>
    <row r="52">
      <c r="A52" s="6" t="inlineStr">
        <is>
          <t>Month</t>
        </is>
      </c>
      <c r="B52" s="6" t="inlineStr">
        <is>
          <t>NB Base ($10 x ct)</t>
        </is>
      </c>
      <c r="C52" s="6" t="inlineStr">
        <is>
          <t>NB Liab Add ($5 x 35%)</t>
        </is>
      </c>
      <c r="D52" s="6" t="inlineStr">
        <is>
          <t>NB Target (w/ kicker)</t>
        </is>
      </c>
      <c r="E52" s="6" t="inlineStr">
        <is>
          <t>REN Base ($6 x ct)</t>
        </is>
      </c>
      <c r="F52" s="6" t="inlineStr">
        <is>
          <t>REN Liab Add ($3 x 30%)</t>
        </is>
      </c>
      <c r="G52" s="6" t="inlineStr">
        <is>
          <t>REN Target (w/ kicker)</t>
        </is>
      </c>
      <c r="H52" s="6" t="inlineStr">
        <is>
          <t>RWR Target (w/ kicker)</t>
        </is>
      </c>
      <c r="I52" s="6" t="inlineStr">
        <is>
          <t>Total Target (no min)</t>
        </is>
      </c>
      <c r="J52" s="6" t="inlineStr">
        <is>
          <t>PAID after MIN</t>
        </is>
      </c>
      <c r="K52" s="6" t="inlineStr">
        <is>
          <t>Gates (NB/REN/RWR)</t>
        </is>
      </c>
      <c r="L52" s="6" t="inlineStr">
        <is>
          <t>Safe Net</t>
        </is>
      </c>
      <c r="M52" s="6" t="inlineStr">
        <is>
          <t>Bonus % SN</t>
        </is>
      </c>
      <c r="N52" s="6" t="inlineStr">
        <is>
          <t>vs Current</t>
        </is>
      </c>
      <c r="O52" s="6" t="inlineStr">
        <is>
          <t>Current Bonus</t>
        </is>
      </c>
    </row>
    <row r="53">
      <c r="A53" s="15" t="inlineStr">
        <is>
          <t>January</t>
        </is>
      </c>
      <c r="B53" s="14" t="n">
        <v>230</v>
      </c>
      <c r="C53" s="14" t="n">
        <v>40.24999999999999</v>
      </c>
      <c r="D53" s="14" t="n">
        <v>270.25</v>
      </c>
      <c r="E53" s="14" t="n">
        <v>210</v>
      </c>
      <c r="F53" s="14" t="n">
        <v>31.5</v>
      </c>
      <c r="G53" s="14" t="n">
        <v>265.65</v>
      </c>
      <c r="H53" s="14" t="n">
        <v>52.8</v>
      </c>
      <c r="I53" s="14" t="n">
        <v>588.7</v>
      </c>
      <c r="J53" s="24" t="n">
        <v>0</v>
      </c>
      <c r="K53" s="33" t="inlineStr">
        <is>
          <t>n/n/n</t>
        </is>
      </c>
      <c r="L53" s="14" t="n">
        <v>1133.2629495</v>
      </c>
      <c r="M53" s="48" t="n">
        <v>0.5194734375281014</v>
      </c>
      <c r="N53" s="14" t="n">
        <v>-350</v>
      </c>
      <c r="O53" s="14" t="n">
        <v>350</v>
      </c>
    </row>
    <row r="54">
      <c r="A54" s="15" t="inlineStr">
        <is>
          <t>February</t>
        </is>
      </c>
      <c r="B54" s="14" t="n">
        <v>230</v>
      </c>
      <c r="C54" s="14" t="n">
        <v>40.24999999999999</v>
      </c>
      <c r="D54" s="14" t="n">
        <v>297.275</v>
      </c>
      <c r="E54" s="14" t="n">
        <v>222</v>
      </c>
      <c r="F54" s="14" t="n">
        <v>33.3</v>
      </c>
      <c r="G54" s="14" t="n">
        <v>280.83</v>
      </c>
      <c r="H54" s="14" t="n">
        <v>61.60000000000001</v>
      </c>
      <c r="I54" s="14" t="n">
        <v>639.705</v>
      </c>
      <c r="J54" s="24" t="n">
        <v>280.83</v>
      </c>
      <c r="K54" s="51" t="inlineStr">
        <is>
          <t>n/Y/n</t>
        </is>
      </c>
      <c r="L54" s="14" t="n">
        <v>1178.0665875</v>
      </c>
      <c r="M54" s="48" t="n">
        <v>0.5430125994469732</v>
      </c>
      <c r="N54" s="14" t="n">
        <v>-179.17</v>
      </c>
      <c r="O54" s="14" t="n">
        <v>460</v>
      </c>
    </row>
    <row r="55">
      <c r="A55" s="15" t="inlineStr">
        <is>
          <t>March</t>
        </is>
      </c>
      <c r="B55" s="14" t="n">
        <v>380</v>
      </c>
      <c r="C55" s="14" t="n">
        <v>66.5</v>
      </c>
      <c r="D55" s="14" t="n">
        <v>491.15</v>
      </c>
      <c r="E55" s="14" t="n">
        <v>246</v>
      </c>
      <c r="F55" s="14" t="n">
        <v>36.9</v>
      </c>
      <c r="G55" s="14" t="n">
        <v>311.19</v>
      </c>
      <c r="H55" s="14" t="n">
        <v>77</v>
      </c>
      <c r="I55" s="14" t="n">
        <v>879.34</v>
      </c>
      <c r="J55" s="24" t="n">
        <v>879.34</v>
      </c>
      <c r="K55" s="52" t="inlineStr">
        <is>
          <t>Y/Y/Y</t>
        </is>
      </c>
      <c r="L55" s="14" t="n">
        <v>1814.6535165</v>
      </c>
      <c r="M55" s="48" t="n">
        <v>0.4845773543017848</v>
      </c>
      <c r="N55" s="14" t="n">
        <v>199.34</v>
      </c>
      <c r="O55" s="14" t="n">
        <v>680</v>
      </c>
    </row>
    <row r="56">
      <c r="A56" s="15" t="inlineStr">
        <is>
          <t>April</t>
        </is>
      </c>
      <c r="B56" s="14" t="n">
        <v>330</v>
      </c>
      <c r="C56" s="14" t="n">
        <v>57.74999999999999</v>
      </c>
      <c r="D56" s="14" t="n">
        <v>426.525</v>
      </c>
      <c r="E56" s="14" t="n">
        <v>144</v>
      </c>
      <c r="F56" s="14" t="n">
        <v>21.6</v>
      </c>
      <c r="G56" s="14" t="n">
        <v>182.16</v>
      </c>
      <c r="H56" s="14" t="n">
        <v>50.59999999999999</v>
      </c>
      <c r="I56" s="14" t="n">
        <v>659.2850000000001</v>
      </c>
      <c r="J56" s="24" t="n">
        <v>182.16</v>
      </c>
      <c r="K56" s="51" t="inlineStr">
        <is>
          <t>n/Y/n</t>
        </is>
      </c>
      <c r="L56" s="14" t="n">
        <v>1548.511173</v>
      </c>
      <c r="M56" s="48" t="n">
        <v>0.4257541123986454</v>
      </c>
      <c r="N56" s="14" t="n">
        <v>-317.84</v>
      </c>
      <c r="O56" s="14" t="n">
        <v>500</v>
      </c>
    </row>
    <row r="57">
      <c r="A57" s="26" t="inlineStr">
        <is>
          <t>4-Month Total</t>
        </is>
      </c>
      <c r="B57" s="35" t="n"/>
      <c r="C57" s="35" t="n"/>
      <c r="D57" s="35" t="n"/>
      <c r="E57" s="35" t="n"/>
      <c r="F57" s="35" t="n"/>
      <c r="G57" s="35" t="n"/>
      <c r="H57" s="35" t="n"/>
      <c r="I57" s="27" t="n">
        <v>2767.030000000001</v>
      </c>
      <c r="J57" s="27" t="n">
        <v>1342.33</v>
      </c>
      <c r="K57" s="35" t="n"/>
      <c r="L57" s="35" t="n"/>
      <c r="M57" s="35" t="n"/>
      <c r="N57" s="27" t="n">
        <v>-647.6699999999998</v>
      </c>
      <c r="O57" s="27" t="n">
        <v>1990</v>
      </c>
    </row>
    <row r="59">
      <c r="A59" s="49" t="inlineStr">
        <is>
          <t>PROPOSAL C - PERSISTENCY (BONUS IDEA)</t>
        </is>
      </c>
    </row>
    <row r="60">
      <c r="A60" s="6" t="inlineStr">
        <is>
          <t>Month</t>
        </is>
      </c>
      <c r="B60" s="6" t="inlineStr">
        <is>
          <t>NB ($8 x ct)</t>
        </is>
      </c>
      <c r="C60" s="6" t="inlineStr">
        <is>
          <t>REN ($8 x ct)</t>
        </is>
      </c>
      <c r="D60" s="6" t="inlineStr">
        <is>
          <t>RWR ($1 x ct)</t>
        </is>
      </c>
      <c r="E60" s="6" t="inlineStr">
        <is>
          <t>NB Target</t>
        </is>
      </c>
      <c r="F60" s="6" t="inlineStr">
        <is>
          <t>REN Target</t>
        </is>
      </c>
      <c r="G60" s="6" t="inlineStr">
        <is>
          <t>RWR Target</t>
        </is>
      </c>
      <c r="H60" s="6" t="inlineStr">
        <is>
          <t>Total Target (no min)</t>
        </is>
      </c>
      <c r="I60" s="6" t="inlineStr">
        <is>
          <t>PAID after MIN</t>
        </is>
      </c>
      <c r="J60" s="6" t="inlineStr">
        <is>
          <t>Gates (NB/REN/RWR)</t>
        </is>
      </c>
      <c r="K60" s="6" t="inlineStr">
        <is>
          <t>Safe Net</t>
        </is>
      </c>
      <c r="L60" s="6" t="inlineStr">
        <is>
          <t>Bonus % SN</t>
        </is>
      </c>
      <c r="M60" s="6" t="inlineStr">
        <is>
          <t>vs Current</t>
        </is>
      </c>
      <c r="N60" s="6" t="inlineStr">
        <is>
          <t>Current Bonus</t>
        </is>
      </c>
    </row>
    <row r="61">
      <c r="A61" s="18" t="inlineStr">
        <is>
          <t>January</t>
        </is>
      </c>
      <c r="B61" s="17" t="n">
        <v>184</v>
      </c>
      <c r="C61" s="17" t="n">
        <v>280</v>
      </c>
      <c r="D61" s="17" t="n">
        <v>24</v>
      </c>
      <c r="E61" s="17" t="n">
        <v>184</v>
      </c>
      <c r="F61" s="17" t="n">
        <v>308</v>
      </c>
      <c r="G61" s="17" t="n">
        <v>26.4</v>
      </c>
      <c r="H61" s="17" t="n">
        <v>518.4</v>
      </c>
      <c r="I61" s="25" t="n">
        <v>0</v>
      </c>
      <c r="J61" s="33" t="inlineStr">
        <is>
          <t>n/n/n</t>
        </is>
      </c>
      <c r="K61" s="17" t="n">
        <v>1133.2629495</v>
      </c>
      <c r="L61" s="50" t="n">
        <v>0.4574401732878677</v>
      </c>
      <c r="M61" s="17" t="n">
        <v>-350</v>
      </c>
      <c r="N61" s="17" t="n">
        <v>350</v>
      </c>
    </row>
    <row r="62">
      <c r="A62" s="18" t="inlineStr">
        <is>
          <t>February</t>
        </is>
      </c>
      <c r="B62" s="17" t="n">
        <v>184</v>
      </c>
      <c r="C62" s="17" t="n">
        <v>296</v>
      </c>
      <c r="D62" s="17" t="n">
        <v>28</v>
      </c>
      <c r="E62" s="17" t="n">
        <v>202.4</v>
      </c>
      <c r="F62" s="17" t="n">
        <v>325.6</v>
      </c>
      <c r="G62" s="17" t="n">
        <v>30.8</v>
      </c>
      <c r="H62" s="17" t="n">
        <v>558.8</v>
      </c>
      <c r="I62" s="25" t="n">
        <v>325.6</v>
      </c>
      <c r="J62" s="51" t="inlineStr">
        <is>
          <t>n/Y/n</t>
        </is>
      </c>
      <c r="K62" s="17" t="n">
        <v>1178.0665875</v>
      </c>
      <c r="L62" s="50" t="n">
        <v>0.4743365153796963</v>
      </c>
      <c r="M62" s="17" t="n">
        <v>-134.4</v>
      </c>
      <c r="N62" s="17" t="n">
        <v>460</v>
      </c>
    </row>
    <row r="63">
      <c r="A63" s="18" t="inlineStr">
        <is>
          <t>March</t>
        </is>
      </c>
      <c r="B63" s="17" t="n">
        <v>304</v>
      </c>
      <c r="C63" s="17" t="n">
        <v>328</v>
      </c>
      <c r="D63" s="17" t="n">
        <v>35</v>
      </c>
      <c r="E63" s="17" t="n">
        <v>334.4</v>
      </c>
      <c r="F63" s="17" t="n">
        <v>360.8</v>
      </c>
      <c r="G63" s="17" t="n">
        <v>38.5</v>
      </c>
      <c r="H63" s="17" t="n">
        <v>733.7</v>
      </c>
      <c r="I63" s="25" t="n">
        <v>733.7</v>
      </c>
      <c r="J63" s="52" t="inlineStr">
        <is>
          <t>Y/Y/Y</t>
        </is>
      </c>
      <c r="K63" s="17" t="n">
        <v>1814.6535165</v>
      </c>
      <c r="L63" s="50" t="n">
        <v>0.4043196088557549</v>
      </c>
      <c r="M63" s="17" t="n">
        <v>53.70000000000005</v>
      </c>
      <c r="N63" s="17" t="n">
        <v>680</v>
      </c>
    </row>
    <row r="64">
      <c r="A64" s="18" t="inlineStr">
        <is>
          <t>April</t>
        </is>
      </c>
      <c r="B64" s="17" t="n">
        <v>264</v>
      </c>
      <c r="C64" s="17" t="n">
        <v>192</v>
      </c>
      <c r="D64" s="17" t="n">
        <v>22</v>
      </c>
      <c r="E64" s="17" t="n">
        <v>290.4</v>
      </c>
      <c r="F64" s="17" t="n">
        <v>211.2</v>
      </c>
      <c r="G64" s="17" t="n">
        <v>25.3</v>
      </c>
      <c r="H64" s="17" t="n">
        <v>526.9</v>
      </c>
      <c r="I64" s="25" t="n">
        <v>211.2</v>
      </c>
      <c r="J64" s="51" t="inlineStr">
        <is>
          <t>n/Y/n</t>
        </is>
      </c>
      <c r="K64" s="17" t="n">
        <v>1548.511173</v>
      </c>
      <c r="L64" s="50" t="n">
        <v>0.3402623172419306</v>
      </c>
      <c r="M64" s="17" t="n">
        <v>-288.8</v>
      </c>
      <c r="N64" s="17" t="n">
        <v>500</v>
      </c>
    </row>
    <row r="65">
      <c r="A65" s="26" t="inlineStr">
        <is>
          <t>4-Month Total</t>
        </is>
      </c>
      <c r="B65" s="35" t="n"/>
      <c r="C65" s="35" t="n"/>
      <c r="D65" s="35" t="n"/>
      <c r="E65" s="35" t="n"/>
      <c r="F65" s="35" t="n"/>
      <c r="G65" s="35" t="n"/>
      <c r="H65" s="27" t="n">
        <v>2337.8</v>
      </c>
      <c r="I65" s="27" t="n">
        <v>1270.5</v>
      </c>
      <c r="J65" s="35" t="n"/>
      <c r="K65" s="35" t="n"/>
      <c r="L65" s="35" t="n"/>
      <c r="M65" s="27" t="n">
        <v>-719.4999999999998</v>
      </c>
      <c r="N65" s="27" t="n">
        <v>1990</v>
      </c>
    </row>
    <row r="68" ht="22" customHeight="1">
      <c r="A68" s="5" t="inlineStr">
        <is>
          <t>Melissa Hernandez</t>
        </is>
      </c>
    </row>
    <row r="69">
      <c r="A69" s="6" t="inlineStr">
        <is>
          <t>Month</t>
        </is>
      </c>
      <c r="B69" s="6" t="inlineStr">
        <is>
          <t>NB Count</t>
        </is>
      </c>
      <c r="C69" s="6" t="inlineStr">
        <is>
          <t>NB Premium</t>
        </is>
      </c>
      <c r="D69" s="6" t="inlineStr">
        <is>
          <t>NB Collected</t>
        </is>
      </c>
      <c r="E69" s="6" t="inlineStr">
        <is>
          <t>NB Coll %</t>
        </is>
      </c>
      <c r="F69" s="6" t="inlineStr">
        <is>
          <t>RWR Count</t>
        </is>
      </c>
      <c r="G69" s="6" t="inlineStr">
        <is>
          <t>RWR Premium</t>
        </is>
      </c>
      <c r="H69" s="6" t="inlineStr">
        <is>
          <t>RWR Collected</t>
        </is>
      </c>
      <c r="I69" s="6" t="inlineStr">
        <is>
          <t>RWR Coll %</t>
        </is>
      </c>
      <c r="J69" s="6" t="inlineStr">
        <is>
          <t>REN Count</t>
        </is>
      </c>
      <c r="K69" s="6" t="inlineStr">
        <is>
          <t>REN Premium</t>
        </is>
      </c>
      <c r="L69" s="6" t="inlineStr">
        <is>
          <t>REN Collected</t>
        </is>
      </c>
      <c r="M69" s="6" t="inlineStr">
        <is>
          <t>REN Coll %</t>
        </is>
      </c>
      <c r="N69" s="6" t="inlineStr">
        <is>
          <t>Avg NB Prem</t>
        </is>
      </c>
      <c r="O69" s="6" t="inlineStr">
        <is>
          <t>Avg REN Prem</t>
        </is>
      </c>
      <c r="P69" s="6" t="inlineStr">
        <is>
          <t>Total Collected</t>
        </is>
      </c>
      <c r="Q69" s="6" t="inlineStr">
        <is>
          <t>Safe Net</t>
        </is>
      </c>
      <c r="R69" s="6" t="inlineStr">
        <is>
          <t>Cap</t>
        </is>
      </c>
    </row>
    <row r="70">
      <c r="A70" s="20" t="inlineStr">
        <is>
          <t>January</t>
        </is>
      </c>
      <c r="B70" s="21" t="n">
        <v>31</v>
      </c>
      <c r="C70" s="22" t="n">
        <v>37039</v>
      </c>
      <c r="D70" s="22" t="n">
        <v>7651.14</v>
      </c>
      <c r="E70" s="44" t="n">
        <v>0.2065698317989147</v>
      </c>
      <c r="F70" s="21" t="n">
        <v>24</v>
      </c>
      <c r="G70" s="22" t="n">
        <v>31687.25</v>
      </c>
      <c r="H70" s="22" t="n">
        <v>5948.785</v>
      </c>
      <c r="I70" s="44" t="n">
        <v>0.1877343410993381</v>
      </c>
      <c r="J70" s="21" t="n">
        <v>24</v>
      </c>
      <c r="K70" s="22" t="n">
        <v>31687.25</v>
      </c>
      <c r="L70" s="22" t="n">
        <v>5948.785</v>
      </c>
      <c r="M70" s="44" t="n">
        <v>0.1877343410993381</v>
      </c>
      <c r="N70" s="22" t="n">
        <v>1194.806451612903</v>
      </c>
      <c r="O70" s="22" t="n">
        <v>1320.302083333333</v>
      </c>
      <c r="P70" s="22" t="n">
        <v>19548.71</v>
      </c>
      <c r="Q70" s="22" t="n">
        <v>1064.4272595</v>
      </c>
      <c r="R70" s="22" t="n">
        <v>425.7709037999999</v>
      </c>
    </row>
    <row r="71">
      <c r="A71" s="20" t="inlineStr">
        <is>
          <t>February</t>
        </is>
      </c>
      <c r="B71" s="21" t="n">
        <v>13</v>
      </c>
      <c r="C71" s="22" t="n">
        <v>7659.5</v>
      </c>
      <c r="D71" s="22" t="n">
        <v>2095.02</v>
      </c>
      <c r="E71" s="44" t="n">
        <v>0.2735191592140479</v>
      </c>
      <c r="F71" s="21" t="n">
        <v>19</v>
      </c>
      <c r="G71" s="22" t="n">
        <v>24995.35</v>
      </c>
      <c r="H71" s="22" t="n">
        <v>3401.365</v>
      </c>
      <c r="I71" s="44" t="n">
        <v>0.1360799108634206</v>
      </c>
      <c r="J71" s="21" t="n">
        <v>19</v>
      </c>
      <c r="K71" s="22" t="n">
        <v>26058.35</v>
      </c>
      <c r="L71" s="22" t="n">
        <v>3493.115</v>
      </c>
      <c r="M71" s="44" t="n">
        <v>0.134049738375607</v>
      </c>
      <c r="N71" s="22" t="n">
        <v>589.1923076923077</v>
      </c>
      <c r="O71" s="22" t="n">
        <v>1371.492105263158</v>
      </c>
      <c r="P71" s="22" t="n">
        <v>8989.5</v>
      </c>
      <c r="Q71" s="22" t="n">
        <v>489.4782749999999</v>
      </c>
      <c r="R71" s="22" t="n">
        <v>195.79131</v>
      </c>
    </row>
    <row r="72">
      <c r="A72" s="20" t="inlineStr">
        <is>
          <t>March</t>
        </is>
      </c>
      <c r="B72" s="21" t="n">
        <v>28</v>
      </c>
      <c r="C72" s="22" t="n">
        <v>39759.7</v>
      </c>
      <c r="D72" s="22" t="n">
        <v>5669.41</v>
      </c>
      <c r="E72" s="44" t="n">
        <v>0.142591870663008</v>
      </c>
      <c r="F72" s="21" t="n">
        <v>24</v>
      </c>
      <c r="G72" s="22" t="n">
        <v>28430.3</v>
      </c>
      <c r="H72" s="22" t="n">
        <v>4310.235</v>
      </c>
      <c r="I72" s="44" t="n">
        <v>0.1516070882122243</v>
      </c>
      <c r="J72" s="21" t="n">
        <v>25</v>
      </c>
      <c r="K72" s="22" t="n">
        <v>29464.3</v>
      </c>
      <c r="L72" s="22" t="n">
        <v>4490.684999999999</v>
      </c>
      <c r="M72" s="44" t="n">
        <v>0.152411053376459</v>
      </c>
      <c r="N72" s="22" t="n">
        <v>1419.989285714286</v>
      </c>
      <c r="O72" s="22" t="n">
        <v>1178.572</v>
      </c>
      <c r="P72" s="22" t="n">
        <v>14470.33</v>
      </c>
      <c r="Q72" s="22" t="n">
        <v>787.9094684999999</v>
      </c>
      <c r="R72" s="22" t="n">
        <v>315.1637874</v>
      </c>
    </row>
    <row r="73">
      <c r="A73" s="20" t="inlineStr">
        <is>
          <t>April</t>
        </is>
      </c>
      <c r="B73" s="21" t="n">
        <v>15</v>
      </c>
      <c r="C73" s="22" t="n">
        <v>19288.35</v>
      </c>
      <c r="D73" s="22" t="n">
        <v>4344.3</v>
      </c>
      <c r="E73" s="44" t="n">
        <v>0.225229218673448</v>
      </c>
      <c r="F73" s="21" t="n">
        <v>19</v>
      </c>
      <c r="G73" s="22" t="n">
        <v>21698.1</v>
      </c>
      <c r="H73" s="22" t="n">
        <v>3830.35</v>
      </c>
      <c r="I73" s="44" t="n">
        <v>0.1765292813656495</v>
      </c>
      <c r="J73" s="21" t="n">
        <v>18</v>
      </c>
      <c r="K73" s="22" t="n">
        <v>21698.1</v>
      </c>
      <c r="L73" s="22" t="n">
        <v>3830.35</v>
      </c>
      <c r="M73" s="44" t="n">
        <v>0.1765292813656495</v>
      </c>
      <c r="N73" s="22" t="n">
        <v>1285.89</v>
      </c>
      <c r="O73" s="22" t="n">
        <v>1205.45</v>
      </c>
      <c r="P73" s="22" t="n">
        <v>12005</v>
      </c>
      <c r="Q73" s="22" t="n">
        <v>653.67225</v>
      </c>
      <c r="R73" s="22" t="n">
        <v>261.4689</v>
      </c>
    </row>
    <row r="75">
      <c r="A75" s="45" t="inlineStr">
        <is>
          <t>PROPOSAL A - PREMIUM-BASED</t>
        </is>
      </c>
    </row>
    <row r="76">
      <c r="A76" s="6" t="inlineStr">
        <is>
          <t>Month</t>
        </is>
      </c>
      <c r="B76" s="6" t="inlineStr">
        <is>
          <t>NB Tier</t>
        </is>
      </c>
      <c r="C76" s="6" t="inlineStr">
        <is>
          <t>NB Per-Policy $</t>
        </is>
      </c>
      <c r="D76" s="6" t="inlineStr">
        <is>
          <t>NB Target (w/ kicker)</t>
        </is>
      </c>
      <c r="E76" s="6" t="inlineStr">
        <is>
          <t>REN Tier</t>
        </is>
      </c>
      <c r="F76" s="6" t="inlineStr">
        <is>
          <t>REN Per-Policy $</t>
        </is>
      </c>
      <c r="G76" s="6" t="inlineStr">
        <is>
          <t>REN Target (w/ kicker)</t>
        </is>
      </c>
      <c r="H76" s="6" t="inlineStr">
        <is>
          <t>RWR Target (w/ kicker)</t>
        </is>
      </c>
      <c r="I76" s="6" t="inlineStr">
        <is>
          <t>Total Target (no min)</t>
        </is>
      </c>
      <c r="J76" s="6" t="inlineStr">
        <is>
          <t>PAID after MIN</t>
        </is>
      </c>
      <c r="K76" s="6" t="inlineStr">
        <is>
          <t>Gates (NB/REN/RWR)</t>
        </is>
      </c>
      <c r="L76" s="6" t="inlineStr">
        <is>
          <t>Safe Net</t>
        </is>
      </c>
      <c r="M76" s="6" t="inlineStr">
        <is>
          <t>Bonus % SN</t>
        </is>
      </c>
      <c r="N76" s="6" t="inlineStr">
        <is>
          <t>vs Current</t>
        </is>
      </c>
      <c r="O76" s="6" t="inlineStr">
        <is>
          <t>Current Bonus</t>
        </is>
      </c>
    </row>
    <row r="77">
      <c r="A77" s="12" t="inlineStr">
        <is>
          <t>January</t>
        </is>
      </c>
      <c r="B77" s="12" t="inlineStr">
        <is>
          <t>Under $1,200</t>
        </is>
      </c>
      <c r="C77" s="11" t="n">
        <v>5</v>
      </c>
      <c r="D77" s="11" t="n">
        <v>170.5</v>
      </c>
      <c r="E77" s="12" t="inlineStr">
        <is>
          <t>$1,200-$1,799</t>
        </is>
      </c>
      <c r="F77" s="11" t="n">
        <v>5</v>
      </c>
      <c r="G77" s="11" t="n">
        <v>132</v>
      </c>
      <c r="H77" s="11" t="n">
        <v>52.8</v>
      </c>
      <c r="I77" s="11" t="n">
        <v>355.3</v>
      </c>
      <c r="J77" s="23" t="n">
        <v>0</v>
      </c>
      <c r="K77" s="33" t="inlineStr">
        <is>
          <t>n/n/n</t>
        </is>
      </c>
      <c r="L77" s="11" t="n">
        <v>1064.4272595</v>
      </c>
      <c r="M77" s="46" t="n">
        <v>0.3337945330025627</v>
      </c>
      <c r="N77" s="11" t="n">
        <v>-500</v>
      </c>
      <c r="O77" s="11" t="n">
        <v>500</v>
      </c>
    </row>
    <row r="78">
      <c r="A78" s="12" t="inlineStr">
        <is>
          <t>February</t>
        </is>
      </c>
      <c r="B78" s="12" t="inlineStr">
        <is>
          <t>Under $1,200</t>
        </is>
      </c>
      <c r="C78" s="11" t="n">
        <v>5</v>
      </c>
      <c r="D78" s="11" t="n">
        <v>74.75</v>
      </c>
      <c r="E78" s="12" t="inlineStr">
        <is>
          <t>$1,200-$1,799</t>
        </is>
      </c>
      <c r="F78" s="11" t="n">
        <v>5</v>
      </c>
      <c r="G78" s="11" t="n">
        <v>95</v>
      </c>
      <c r="H78" s="11" t="n">
        <v>38</v>
      </c>
      <c r="I78" s="11" t="n">
        <v>207.75</v>
      </c>
      <c r="J78" s="23" t="n">
        <v>0</v>
      </c>
      <c r="K78" s="33" t="inlineStr">
        <is>
          <t>n/n/n</t>
        </is>
      </c>
      <c r="L78" s="11" t="n">
        <v>489.4782749999999</v>
      </c>
      <c r="M78" s="46" t="n">
        <v>0.4244315031142087</v>
      </c>
      <c r="N78" s="11" t="n">
        <v>-250</v>
      </c>
      <c r="O78" s="11" t="n">
        <v>250</v>
      </c>
    </row>
    <row r="79">
      <c r="A79" s="12" t="inlineStr">
        <is>
          <t>March</t>
        </is>
      </c>
      <c r="B79" s="12" t="inlineStr">
        <is>
          <t>$1,200-$1,799</t>
        </is>
      </c>
      <c r="C79" s="11" t="n">
        <v>7</v>
      </c>
      <c r="D79" s="11" t="n">
        <v>196</v>
      </c>
      <c r="E79" s="12" t="inlineStr">
        <is>
          <t>Under $1,200</t>
        </is>
      </c>
      <c r="F79" s="11" t="n">
        <v>4</v>
      </c>
      <c r="G79" s="11" t="n">
        <v>110</v>
      </c>
      <c r="H79" s="11" t="n">
        <v>52.8</v>
      </c>
      <c r="I79" s="11" t="n">
        <v>358.8</v>
      </c>
      <c r="J79" s="23" t="n">
        <v>0</v>
      </c>
      <c r="K79" s="33" t="inlineStr">
        <is>
          <t>n/n/n</t>
        </is>
      </c>
      <c r="L79" s="11" t="n">
        <v>787.9094684999999</v>
      </c>
      <c r="M79" s="46" t="n">
        <v>0.4553822670554695</v>
      </c>
      <c r="N79" s="11" t="n">
        <v>-470</v>
      </c>
      <c r="O79" s="11" t="n">
        <v>470</v>
      </c>
    </row>
    <row r="80">
      <c r="A80" s="12" t="inlineStr">
        <is>
          <t>April</t>
        </is>
      </c>
      <c r="B80" s="12" t="inlineStr">
        <is>
          <t>$1,200-$1,799</t>
        </is>
      </c>
      <c r="C80" s="11" t="n">
        <v>7</v>
      </c>
      <c r="D80" s="11" t="n">
        <v>115.5</v>
      </c>
      <c r="E80" s="12" t="inlineStr">
        <is>
          <t>$1,200-$1,799</t>
        </is>
      </c>
      <c r="F80" s="11" t="n">
        <v>5</v>
      </c>
      <c r="G80" s="11" t="n">
        <v>99.00000000000001</v>
      </c>
      <c r="H80" s="11" t="n">
        <v>41.8</v>
      </c>
      <c r="I80" s="11" t="n">
        <v>256.3</v>
      </c>
      <c r="J80" s="23" t="n">
        <v>0</v>
      </c>
      <c r="K80" s="33" t="inlineStr">
        <is>
          <t>n/n/n</t>
        </is>
      </c>
      <c r="L80" s="11" t="n">
        <v>653.67225</v>
      </c>
      <c r="M80" s="46" t="n">
        <v>0.3920925203724038</v>
      </c>
      <c r="N80" s="11" t="n">
        <v>-250</v>
      </c>
      <c r="O80" s="11" t="n">
        <v>250</v>
      </c>
    </row>
    <row r="81">
      <c r="A81" s="26" t="inlineStr">
        <is>
          <t>4-Month Total</t>
        </is>
      </c>
      <c r="B81" s="35" t="n"/>
      <c r="C81" s="35" t="n"/>
      <c r="D81" s="35" t="n"/>
      <c r="E81" s="35" t="n"/>
      <c r="F81" s="35" t="n"/>
      <c r="G81" s="35" t="n"/>
      <c r="H81" s="35" t="n"/>
      <c r="I81" s="27" t="n">
        <v>1178.15</v>
      </c>
      <c r="J81" s="27" t="n">
        <v>0</v>
      </c>
      <c r="K81" s="35" t="n"/>
      <c r="L81" s="35" t="n"/>
      <c r="M81" s="35" t="n"/>
      <c r="N81" s="27" t="n">
        <v>-1470</v>
      </c>
      <c r="O81" s="27" t="n">
        <v>1470</v>
      </c>
    </row>
    <row r="83">
      <c r="A83" s="47" t="inlineStr">
        <is>
          <t>PROPOSAL B - COVERAGE-BASED</t>
        </is>
      </c>
    </row>
    <row r="84">
      <c r="A84" s="6" t="inlineStr">
        <is>
          <t>Month</t>
        </is>
      </c>
      <c r="B84" s="6" t="inlineStr">
        <is>
          <t>NB Base ($10 x ct)</t>
        </is>
      </c>
      <c r="C84" s="6" t="inlineStr">
        <is>
          <t>NB Liab Add ($5 x 35%)</t>
        </is>
      </c>
      <c r="D84" s="6" t="inlineStr">
        <is>
          <t>NB Target (w/ kicker)</t>
        </is>
      </c>
      <c r="E84" s="6" t="inlineStr">
        <is>
          <t>REN Base ($6 x ct)</t>
        </is>
      </c>
      <c r="F84" s="6" t="inlineStr">
        <is>
          <t>REN Liab Add ($3 x 30%)</t>
        </is>
      </c>
      <c r="G84" s="6" t="inlineStr">
        <is>
          <t>REN Target (w/ kicker)</t>
        </is>
      </c>
      <c r="H84" s="6" t="inlineStr">
        <is>
          <t>RWR Target (w/ kicker)</t>
        </is>
      </c>
      <c r="I84" s="6" t="inlineStr">
        <is>
          <t>Total Target (no min)</t>
        </is>
      </c>
      <c r="J84" s="6" t="inlineStr">
        <is>
          <t>PAID after MIN</t>
        </is>
      </c>
      <c r="K84" s="6" t="inlineStr">
        <is>
          <t>Gates (NB/REN/RWR)</t>
        </is>
      </c>
      <c r="L84" s="6" t="inlineStr">
        <is>
          <t>Safe Net</t>
        </is>
      </c>
      <c r="M84" s="6" t="inlineStr">
        <is>
          <t>Bonus % SN</t>
        </is>
      </c>
      <c r="N84" s="6" t="inlineStr">
        <is>
          <t>vs Current</t>
        </is>
      </c>
      <c r="O84" s="6" t="inlineStr">
        <is>
          <t>Current Bonus</t>
        </is>
      </c>
    </row>
    <row r="85">
      <c r="A85" s="15" t="inlineStr">
        <is>
          <t>January</t>
        </is>
      </c>
      <c r="B85" s="14" t="n">
        <v>310</v>
      </c>
      <c r="C85" s="14" t="n">
        <v>54.25</v>
      </c>
      <c r="D85" s="14" t="n">
        <v>400.675</v>
      </c>
      <c r="E85" s="14" t="n">
        <v>144</v>
      </c>
      <c r="F85" s="14" t="n">
        <v>21.6</v>
      </c>
      <c r="G85" s="14" t="n">
        <v>182.16</v>
      </c>
      <c r="H85" s="14" t="n">
        <v>52.8</v>
      </c>
      <c r="I85" s="14" t="n">
        <v>635.635</v>
      </c>
      <c r="J85" s="24" t="n">
        <v>0</v>
      </c>
      <c r="K85" s="33" t="inlineStr">
        <is>
          <t>n/n/n</t>
        </is>
      </c>
      <c r="L85" s="14" t="n">
        <v>1064.4272595</v>
      </c>
      <c r="M85" s="48" t="n">
        <v>0.597161519800405</v>
      </c>
      <c r="N85" s="14" t="n">
        <v>-500</v>
      </c>
      <c r="O85" s="14" t="n">
        <v>500</v>
      </c>
    </row>
    <row r="86">
      <c r="A86" s="15" t="inlineStr">
        <is>
          <t>February</t>
        </is>
      </c>
      <c r="B86" s="14" t="n">
        <v>130</v>
      </c>
      <c r="C86" s="14" t="n">
        <v>22.75</v>
      </c>
      <c r="D86" s="14" t="n">
        <v>175.6625</v>
      </c>
      <c r="E86" s="14" t="n">
        <v>114</v>
      </c>
      <c r="F86" s="14" t="n">
        <v>17.1</v>
      </c>
      <c r="G86" s="14" t="n">
        <v>131.1</v>
      </c>
      <c r="H86" s="14" t="n">
        <v>38</v>
      </c>
      <c r="I86" s="14" t="n">
        <v>344.7625</v>
      </c>
      <c r="J86" s="24" t="n">
        <v>0</v>
      </c>
      <c r="K86" s="33" t="inlineStr">
        <is>
          <t>n/n/n</t>
        </is>
      </c>
      <c r="L86" s="14" t="n">
        <v>489.4782749999999</v>
      </c>
      <c r="M86" s="48" t="n">
        <v>0.7043468885314675</v>
      </c>
      <c r="N86" s="14" t="n">
        <v>-250</v>
      </c>
      <c r="O86" s="14" t="n">
        <v>250</v>
      </c>
    </row>
    <row r="87">
      <c r="A87" s="15" t="inlineStr">
        <is>
          <t>March</t>
        </is>
      </c>
      <c r="B87" s="14" t="n">
        <v>280</v>
      </c>
      <c r="C87" s="14" t="n">
        <v>48.99999999999999</v>
      </c>
      <c r="D87" s="14" t="n">
        <v>329</v>
      </c>
      <c r="E87" s="14" t="n">
        <v>150</v>
      </c>
      <c r="F87" s="14" t="n">
        <v>22.5</v>
      </c>
      <c r="G87" s="14" t="n">
        <v>189.75</v>
      </c>
      <c r="H87" s="14" t="n">
        <v>52.8</v>
      </c>
      <c r="I87" s="14" t="n">
        <v>571.55</v>
      </c>
      <c r="J87" s="24" t="n">
        <v>0</v>
      </c>
      <c r="K87" s="33" t="inlineStr">
        <is>
          <t>n/n/n</t>
        </is>
      </c>
      <c r="L87" s="14" t="n">
        <v>787.9094684999999</v>
      </c>
      <c r="M87" s="48" t="n">
        <v>0.7254005984825909</v>
      </c>
      <c r="N87" s="14" t="n">
        <v>-470</v>
      </c>
      <c r="O87" s="14" t="n">
        <v>470</v>
      </c>
    </row>
    <row r="88">
      <c r="A88" s="15" t="inlineStr">
        <is>
          <t>April</t>
        </is>
      </c>
      <c r="B88" s="14" t="n">
        <v>150</v>
      </c>
      <c r="C88" s="14" t="n">
        <v>26.25</v>
      </c>
      <c r="D88" s="14" t="n">
        <v>193.875</v>
      </c>
      <c r="E88" s="14" t="n">
        <v>108</v>
      </c>
      <c r="F88" s="14" t="n">
        <v>16.2</v>
      </c>
      <c r="G88" s="14" t="n">
        <v>136.62</v>
      </c>
      <c r="H88" s="14" t="n">
        <v>41.8</v>
      </c>
      <c r="I88" s="14" t="n">
        <v>372.295</v>
      </c>
      <c r="J88" s="24" t="n">
        <v>0</v>
      </c>
      <c r="K88" s="33" t="inlineStr">
        <is>
          <t>n/n/n</t>
        </is>
      </c>
      <c r="L88" s="14" t="n">
        <v>653.67225</v>
      </c>
      <c r="M88" s="48" t="n">
        <v>0.5695438348499574</v>
      </c>
      <c r="N88" s="14" t="n">
        <v>-250</v>
      </c>
      <c r="O88" s="14" t="n">
        <v>250</v>
      </c>
    </row>
    <row r="89">
      <c r="A89" s="26" t="inlineStr">
        <is>
          <t>4-Month Total</t>
        </is>
      </c>
      <c r="B89" s="35" t="n"/>
      <c r="C89" s="35" t="n"/>
      <c r="D89" s="35" t="n"/>
      <c r="E89" s="35" t="n"/>
      <c r="F89" s="35" t="n"/>
      <c r="G89" s="35" t="n"/>
      <c r="H89" s="35" t="n"/>
      <c r="I89" s="27" t="n">
        <v>1924.2425</v>
      </c>
      <c r="J89" s="27" t="n">
        <v>0</v>
      </c>
      <c r="K89" s="35" t="n"/>
      <c r="L89" s="35" t="n"/>
      <c r="M89" s="35" t="n"/>
      <c r="N89" s="27" t="n">
        <v>-1470</v>
      </c>
      <c r="O89" s="27" t="n">
        <v>1470</v>
      </c>
    </row>
    <row r="91">
      <c r="A91" s="49" t="inlineStr">
        <is>
          <t>PROPOSAL C - PERSISTENCY (BONUS IDEA)</t>
        </is>
      </c>
    </row>
    <row r="92">
      <c r="A92" s="6" t="inlineStr">
        <is>
          <t>Month</t>
        </is>
      </c>
      <c r="B92" s="6" t="inlineStr">
        <is>
          <t>NB ($8 x ct)</t>
        </is>
      </c>
      <c r="C92" s="6" t="inlineStr">
        <is>
          <t>REN ($8 x ct)</t>
        </is>
      </c>
      <c r="D92" s="6" t="inlineStr">
        <is>
          <t>RWR ($1 x ct)</t>
        </is>
      </c>
      <c r="E92" s="6" t="inlineStr">
        <is>
          <t>NB Target</t>
        </is>
      </c>
      <c r="F92" s="6" t="inlineStr">
        <is>
          <t>REN Target</t>
        </is>
      </c>
      <c r="G92" s="6" t="inlineStr">
        <is>
          <t>RWR Target</t>
        </is>
      </c>
      <c r="H92" s="6" t="inlineStr">
        <is>
          <t>Total Target (no min)</t>
        </is>
      </c>
      <c r="I92" s="6" t="inlineStr">
        <is>
          <t>PAID after MIN</t>
        </is>
      </c>
      <c r="J92" s="6" t="inlineStr">
        <is>
          <t>Gates (NB/REN/RWR)</t>
        </is>
      </c>
      <c r="K92" s="6" t="inlineStr">
        <is>
          <t>Safe Net</t>
        </is>
      </c>
      <c r="L92" s="6" t="inlineStr">
        <is>
          <t>Bonus % SN</t>
        </is>
      </c>
      <c r="M92" s="6" t="inlineStr">
        <is>
          <t>vs Current</t>
        </is>
      </c>
      <c r="N92" s="6" t="inlineStr">
        <is>
          <t>Current Bonus</t>
        </is>
      </c>
    </row>
    <row r="93">
      <c r="A93" s="18" t="inlineStr">
        <is>
          <t>January</t>
        </is>
      </c>
      <c r="B93" s="17" t="n">
        <v>248</v>
      </c>
      <c r="C93" s="17" t="n">
        <v>192</v>
      </c>
      <c r="D93" s="17" t="n">
        <v>24</v>
      </c>
      <c r="E93" s="17" t="n">
        <v>272.8</v>
      </c>
      <c r="F93" s="17" t="n">
        <v>211.2</v>
      </c>
      <c r="G93" s="17" t="n">
        <v>26.4</v>
      </c>
      <c r="H93" s="17" t="n">
        <v>510.4</v>
      </c>
      <c r="I93" s="25" t="n">
        <v>0</v>
      </c>
      <c r="J93" s="33" t="inlineStr">
        <is>
          <t>n/n/n</t>
        </is>
      </c>
      <c r="K93" s="17" t="n">
        <v>1064.4272595</v>
      </c>
      <c r="L93" s="50" t="n">
        <v>0.4795066975640528</v>
      </c>
      <c r="M93" s="17" t="n">
        <v>-500</v>
      </c>
      <c r="N93" s="17" t="n">
        <v>500</v>
      </c>
    </row>
    <row r="94">
      <c r="A94" s="18" t="inlineStr">
        <is>
          <t>February</t>
        </is>
      </c>
      <c r="B94" s="17" t="n">
        <v>104</v>
      </c>
      <c r="C94" s="17" t="n">
        <v>152</v>
      </c>
      <c r="D94" s="17" t="n">
        <v>19</v>
      </c>
      <c r="E94" s="17" t="n">
        <v>119.6</v>
      </c>
      <c r="F94" s="17" t="n">
        <v>152</v>
      </c>
      <c r="G94" s="17" t="n">
        <v>19</v>
      </c>
      <c r="H94" s="17" t="n">
        <v>290.6</v>
      </c>
      <c r="I94" s="25" t="n">
        <v>0</v>
      </c>
      <c r="J94" s="33" t="inlineStr">
        <is>
          <t>n/n/n</t>
        </is>
      </c>
      <c r="K94" s="17" t="n">
        <v>489.4782749999999</v>
      </c>
      <c r="L94" s="50" t="n">
        <v>0.5936933564620412</v>
      </c>
      <c r="M94" s="17" t="n">
        <v>-250</v>
      </c>
      <c r="N94" s="17" t="n">
        <v>250</v>
      </c>
    </row>
    <row r="95">
      <c r="A95" s="18" t="inlineStr">
        <is>
          <t>March</t>
        </is>
      </c>
      <c r="B95" s="17" t="n">
        <v>224</v>
      </c>
      <c r="C95" s="17" t="n">
        <v>200</v>
      </c>
      <c r="D95" s="17" t="n">
        <v>24</v>
      </c>
      <c r="E95" s="17" t="n">
        <v>224</v>
      </c>
      <c r="F95" s="17" t="n">
        <v>220</v>
      </c>
      <c r="G95" s="17" t="n">
        <v>26.4</v>
      </c>
      <c r="H95" s="17" t="n">
        <v>470.4</v>
      </c>
      <c r="I95" s="25" t="n">
        <v>0</v>
      </c>
      <c r="J95" s="33" t="inlineStr">
        <is>
          <t>n/n/n</t>
        </is>
      </c>
      <c r="K95" s="17" t="n">
        <v>787.9094684999999</v>
      </c>
      <c r="L95" s="50" t="n">
        <v>0.5970229053034918</v>
      </c>
      <c r="M95" s="17" t="n">
        <v>-470</v>
      </c>
      <c r="N95" s="17" t="n">
        <v>470</v>
      </c>
    </row>
    <row r="96">
      <c r="A96" s="18" t="inlineStr">
        <is>
          <t>April</t>
        </is>
      </c>
      <c r="B96" s="17" t="n">
        <v>120</v>
      </c>
      <c r="C96" s="17" t="n">
        <v>144</v>
      </c>
      <c r="D96" s="17" t="n">
        <v>19</v>
      </c>
      <c r="E96" s="17" t="n">
        <v>132</v>
      </c>
      <c r="F96" s="17" t="n">
        <v>158.4</v>
      </c>
      <c r="G96" s="17" t="n">
        <v>20.9</v>
      </c>
      <c r="H96" s="17" t="n">
        <v>311.3</v>
      </c>
      <c r="I96" s="25" t="n">
        <v>0</v>
      </c>
      <c r="J96" s="33" t="inlineStr">
        <is>
          <t>n/n/n</t>
        </is>
      </c>
      <c r="K96" s="17" t="n">
        <v>653.67225</v>
      </c>
      <c r="L96" s="50" t="n">
        <v>0.4762325462033916</v>
      </c>
      <c r="M96" s="17" t="n">
        <v>-250</v>
      </c>
      <c r="N96" s="17" t="n">
        <v>250</v>
      </c>
    </row>
    <row r="97">
      <c r="A97" s="26" t="inlineStr">
        <is>
          <t>4-Month Total</t>
        </is>
      </c>
      <c r="B97" s="35" t="n"/>
      <c r="C97" s="35" t="n"/>
      <c r="D97" s="35" t="n"/>
      <c r="E97" s="35" t="n"/>
      <c r="F97" s="35" t="n"/>
      <c r="G97" s="35" t="n"/>
      <c r="H97" s="27" t="n">
        <v>1582.7</v>
      </c>
      <c r="I97" s="27" t="n">
        <v>0</v>
      </c>
      <c r="J97" s="35" t="n"/>
      <c r="K97" s="35" t="n"/>
      <c r="L97" s="35" t="n"/>
      <c r="M97" s="27" t="n">
        <v>-1470</v>
      </c>
      <c r="N97" s="27" t="n">
        <v>1470</v>
      </c>
    </row>
    <row r="100" ht="22" customHeight="1">
      <c r="A100" s="5" t="inlineStr">
        <is>
          <t>Flavia Parra</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20" t="inlineStr">
        <is>
          <t>January</t>
        </is>
      </c>
      <c r="B102" s="21" t="n">
        <v>19</v>
      </c>
      <c r="C102" s="22" t="n">
        <v>28525.05</v>
      </c>
      <c r="D102" s="22" t="n">
        <v>5657.4</v>
      </c>
      <c r="E102" s="44" t="n">
        <v>0.1983309406994904</v>
      </c>
      <c r="F102" s="21" t="n">
        <v>17</v>
      </c>
      <c r="G102" s="22" t="n">
        <v>19779.025</v>
      </c>
      <c r="H102" s="22" t="n">
        <v>4397.645</v>
      </c>
      <c r="I102" s="44" t="n">
        <v>0.2223388159932049</v>
      </c>
      <c r="J102" s="21" t="n">
        <v>19</v>
      </c>
      <c r="K102" s="22" t="n">
        <v>21243.375</v>
      </c>
      <c r="L102" s="22" t="n">
        <v>4699.765</v>
      </c>
      <c r="M102" s="44" t="n">
        <v>0.2212343848376259</v>
      </c>
      <c r="N102" s="22" t="n">
        <v>1501.318421052631</v>
      </c>
      <c r="O102" s="22" t="n">
        <v>1118.072368421053</v>
      </c>
      <c r="P102" s="22" t="n">
        <v>14754.81</v>
      </c>
      <c r="Q102" s="22" t="n">
        <v>803.3994045000001</v>
      </c>
      <c r="R102" s="22" t="n">
        <v>321.3597618000001</v>
      </c>
    </row>
    <row r="103">
      <c r="A103" s="20" t="inlineStr">
        <is>
          <t>February</t>
        </is>
      </c>
      <c r="B103" s="21" t="n">
        <v>23</v>
      </c>
      <c r="C103" s="22" t="n">
        <v>22247.7</v>
      </c>
      <c r="D103" s="22" t="n">
        <v>3832.59</v>
      </c>
      <c r="E103" s="44" t="n">
        <v>0.1722690435415796</v>
      </c>
      <c r="F103" s="21" t="n">
        <v>21</v>
      </c>
      <c r="G103" s="22" t="n">
        <v>21843.725</v>
      </c>
      <c r="H103" s="22" t="n">
        <v>6910.045</v>
      </c>
      <c r="I103" s="44" t="n">
        <v>0.3163400473133589</v>
      </c>
      <c r="J103" s="21" t="n">
        <v>23</v>
      </c>
      <c r="K103" s="22" t="n">
        <v>23942.725</v>
      </c>
      <c r="L103" s="22" t="n">
        <v>7231.055</v>
      </c>
      <c r="M103" s="44" t="n">
        <v>0.3020147038401018</v>
      </c>
      <c r="N103" s="22" t="n">
        <v>967.2913043478261</v>
      </c>
      <c r="O103" s="22" t="n">
        <v>1040.988043478261</v>
      </c>
      <c r="P103" s="22" t="n">
        <v>17973.69</v>
      </c>
      <c r="Q103" s="22" t="n">
        <v>978.6674205</v>
      </c>
      <c r="R103" s="22" t="n">
        <v>391.4669682000001</v>
      </c>
    </row>
    <row r="104">
      <c r="A104" s="20" t="inlineStr">
        <is>
          <t>March</t>
        </is>
      </c>
      <c r="B104" s="21" t="n">
        <v>27</v>
      </c>
      <c r="C104" s="22" t="n">
        <v>31269</v>
      </c>
      <c r="D104" s="22" t="n">
        <v>8642.02</v>
      </c>
      <c r="E104" s="44" t="n">
        <v>0.2763766030253606</v>
      </c>
      <c r="F104" s="21" t="n">
        <v>13</v>
      </c>
      <c r="G104" s="22" t="n">
        <v>11763.35</v>
      </c>
      <c r="H104" s="22" t="n">
        <v>4530.315</v>
      </c>
      <c r="I104" s="44" t="n">
        <v>0.3851211602137146</v>
      </c>
      <c r="J104" s="21" t="n">
        <v>14</v>
      </c>
      <c r="K104" s="22" t="n">
        <v>11763.35</v>
      </c>
      <c r="L104" s="22" t="n">
        <v>4530.315</v>
      </c>
      <c r="M104" s="44" t="n">
        <v>0.3851211602137146</v>
      </c>
      <c r="N104" s="22" t="n">
        <v>1158.111111111111</v>
      </c>
      <c r="O104" s="22" t="n">
        <v>840.2392857142858</v>
      </c>
      <c r="P104" s="22" t="n">
        <v>17702.65</v>
      </c>
      <c r="Q104" s="22" t="n">
        <v>963.9092924999999</v>
      </c>
      <c r="R104" s="22" t="n">
        <v>385.563717</v>
      </c>
    </row>
    <row r="105">
      <c r="A105" s="20" t="inlineStr">
        <is>
          <t>April</t>
        </is>
      </c>
      <c r="B105" s="21" t="n">
        <v>23</v>
      </c>
      <c r="C105" s="22" t="n">
        <v>29581.05</v>
      </c>
      <c r="D105" s="22" t="n">
        <v>6600.51</v>
      </c>
      <c r="E105" s="44" t="n">
        <v>0.2231330530863509</v>
      </c>
      <c r="F105" s="21" t="n">
        <v>15</v>
      </c>
      <c r="G105" s="22" t="n">
        <v>15416.38</v>
      </c>
      <c r="H105" s="22" t="n">
        <v>3855.31</v>
      </c>
      <c r="I105" s="44" t="n">
        <v>0.2500788122762931</v>
      </c>
      <c r="J105" s="21" t="n">
        <v>17</v>
      </c>
      <c r="K105" s="22" t="n">
        <v>16301.38</v>
      </c>
      <c r="L105" s="22" t="n">
        <v>4740.309999999999</v>
      </c>
      <c r="M105" s="44" t="n">
        <v>0.2907919452218156</v>
      </c>
      <c r="N105" s="22" t="n">
        <v>1286.132608695652</v>
      </c>
      <c r="O105" s="22" t="n">
        <v>958.9047058823529</v>
      </c>
      <c r="P105" s="22" t="n">
        <v>15196.13</v>
      </c>
      <c r="Q105" s="22" t="n">
        <v>827.4292784999999</v>
      </c>
      <c r="R105" s="22" t="n">
        <v>330.9717114</v>
      </c>
    </row>
    <row r="107">
      <c r="A107" s="45" t="inlineStr">
        <is>
          <t>PROPOSAL A - PREMIUM-BASED</t>
        </is>
      </c>
    </row>
    <row r="108">
      <c r="A108" s="6" t="inlineStr">
        <is>
          <t>Month</t>
        </is>
      </c>
      <c r="B108" s="6" t="inlineStr">
        <is>
          <t>NB Tier</t>
        </is>
      </c>
      <c r="C108" s="6" t="inlineStr">
        <is>
          <t>NB Per-Policy $</t>
        </is>
      </c>
      <c r="D108" s="6" t="inlineStr">
        <is>
          <t>NB Target (w/ kicker)</t>
        </is>
      </c>
      <c r="E108" s="6" t="inlineStr">
        <is>
          <t>REN Tier</t>
        </is>
      </c>
      <c r="F108" s="6" t="inlineStr">
        <is>
          <t>REN Per-Policy $</t>
        </is>
      </c>
      <c r="G108" s="6" t="inlineStr">
        <is>
          <t>REN Target (w/ kicker)</t>
        </is>
      </c>
      <c r="H108" s="6" t="inlineStr">
        <is>
          <t>RWR Target (w/ kicker)</t>
        </is>
      </c>
      <c r="I108" s="6" t="inlineStr">
        <is>
          <t>Total Target (no min)</t>
        </is>
      </c>
      <c r="J108" s="6" t="inlineStr">
        <is>
          <t>PAID after MIN</t>
        </is>
      </c>
      <c r="K108" s="6" t="inlineStr">
        <is>
          <t>Gates (NB/REN/RWR)</t>
        </is>
      </c>
      <c r="L108" s="6" t="inlineStr">
        <is>
          <t>Safe Net</t>
        </is>
      </c>
      <c r="M108" s="6" t="inlineStr">
        <is>
          <t>Bonus % SN</t>
        </is>
      </c>
      <c r="N108" s="6" t="inlineStr">
        <is>
          <t>vs Current</t>
        </is>
      </c>
      <c r="O108" s="6" t="inlineStr">
        <is>
          <t>Current Bonus</t>
        </is>
      </c>
    </row>
    <row r="109">
      <c r="A109" s="12" t="inlineStr">
        <is>
          <t>January</t>
        </is>
      </c>
      <c r="B109" s="12" t="inlineStr">
        <is>
          <t>$1,200-$1,799</t>
        </is>
      </c>
      <c r="C109" s="11" t="n">
        <v>7</v>
      </c>
      <c r="D109" s="11" t="n">
        <v>146.3</v>
      </c>
      <c r="E109" s="12" t="inlineStr">
        <is>
          <t>Under $1,200</t>
        </is>
      </c>
      <c r="F109" s="11" t="n">
        <v>4</v>
      </c>
      <c r="G109" s="11" t="n">
        <v>83.60000000000001</v>
      </c>
      <c r="H109" s="11" t="n">
        <v>37.40000000000001</v>
      </c>
      <c r="I109" s="11" t="n">
        <v>267.3000000000001</v>
      </c>
      <c r="J109" s="23" t="n">
        <v>0</v>
      </c>
      <c r="K109" s="33" t="inlineStr">
        <is>
          <t>n/n/n</t>
        </is>
      </c>
      <c r="L109" s="11" t="n">
        <v>803.3994045000001</v>
      </c>
      <c r="M109" s="46" t="n">
        <v>0.3327112249558558</v>
      </c>
      <c r="N109" s="11" t="n">
        <v>-350</v>
      </c>
      <c r="O109" s="11" t="n">
        <v>350</v>
      </c>
    </row>
    <row r="110">
      <c r="A110" s="12" t="inlineStr">
        <is>
          <t>February</t>
        </is>
      </c>
      <c r="B110" s="12" t="inlineStr">
        <is>
          <t>Under $1,200</t>
        </is>
      </c>
      <c r="C110" s="11" t="n">
        <v>5</v>
      </c>
      <c r="D110" s="11" t="n">
        <v>126.5</v>
      </c>
      <c r="E110" s="12" t="inlineStr">
        <is>
          <t>Under $1,200</t>
        </is>
      </c>
      <c r="F110" s="11" t="n">
        <v>4</v>
      </c>
      <c r="G110" s="11" t="n">
        <v>105.8</v>
      </c>
      <c r="H110" s="11" t="n">
        <v>48.3</v>
      </c>
      <c r="I110" s="11" t="n">
        <v>280.6</v>
      </c>
      <c r="J110" s="23" t="n">
        <v>0</v>
      </c>
      <c r="K110" s="33" t="inlineStr">
        <is>
          <t>n/n/n</t>
        </is>
      </c>
      <c r="L110" s="11" t="n">
        <v>978.6674205</v>
      </c>
      <c r="M110" s="46" t="n">
        <v>0.2867164004056064</v>
      </c>
      <c r="N110" s="11" t="n">
        <v>-350</v>
      </c>
      <c r="O110" s="11" t="n">
        <v>350</v>
      </c>
    </row>
    <row r="111">
      <c r="A111" s="12" t="inlineStr">
        <is>
          <t>March</t>
        </is>
      </c>
      <c r="B111" s="12" t="inlineStr">
        <is>
          <t>Under $1,200</t>
        </is>
      </c>
      <c r="C111" s="11" t="n">
        <v>5</v>
      </c>
      <c r="D111" s="11" t="n">
        <v>155.25</v>
      </c>
      <c r="E111" s="12" t="inlineStr">
        <is>
          <t>Under $1,200</t>
        </is>
      </c>
      <c r="F111" s="11" t="n">
        <v>4</v>
      </c>
      <c r="G111" s="11" t="n">
        <v>64.39999999999999</v>
      </c>
      <c r="H111" s="11" t="n">
        <v>29.9</v>
      </c>
      <c r="I111" s="11" t="n">
        <v>249.55</v>
      </c>
      <c r="J111" s="23" t="n">
        <v>0</v>
      </c>
      <c r="K111" s="33" t="inlineStr">
        <is>
          <t>n/n/n</t>
        </is>
      </c>
      <c r="L111" s="11" t="n">
        <v>963.9092924999999</v>
      </c>
      <c r="M111" s="46" t="n">
        <v>0.2588936551828086</v>
      </c>
      <c r="N111" s="11" t="n">
        <v>-350</v>
      </c>
      <c r="O111" s="11" t="n">
        <v>350</v>
      </c>
    </row>
    <row r="112">
      <c r="A112" s="12" t="inlineStr">
        <is>
          <t>April</t>
        </is>
      </c>
      <c r="B112" s="12" t="inlineStr">
        <is>
          <t>$1,200-$1,799</t>
        </is>
      </c>
      <c r="C112" s="11" t="n">
        <v>7</v>
      </c>
      <c r="D112" s="11" t="n">
        <v>177.1</v>
      </c>
      <c r="E112" s="12" t="inlineStr">
        <is>
          <t>Under $1,200</t>
        </is>
      </c>
      <c r="F112" s="11" t="n">
        <v>4</v>
      </c>
      <c r="G112" s="11" t="n">
        <v>78.19999999999999</v>
      </c>
      <c r="H112" s="11" t="n">
        <v>34.5</v>
      </c>
      <c r="I112" s="11" t="n">
        <v>289.8</v>
      </c>
      <c r="J112" s="23" t="n">
        <v>0</v>
      </c>
      <c r="K112" s="33" t="inlineStr">
        <is>
          <t>n/n/n</t>
        </is>
      </c>
      <c r="L112" s="11" t="n">
        <v>827.4292784999999</v>
      </c>
      <c r="M112" s="46" t="n">
        <v>0.3502414134116237</v>
      </c>
      <c r="N112" s="11" t="n">
        <v>-350</v>
      </c>
      <c r="O112" s="11" t="n">
        <v>350</v>
      </c>
    </row>
    <row r="113">
      <c r="A113" s="26" t="inlineStr">
        <is>
          <t>4-Month Total</t>
        </is>
      </c>
      <c r="B113" s="35" t="n"/>
      <c r="C113" s="35" t="n"/>
      <c r="D113" s="35" t="n"/>
      <c r="E113" s="35" t="n"/>
      <c r="F113" s="35" t="n"/>
      <c r="G113" s="35" t="n"/>
      <c r="H113" s="35" t="n"/>
      <c r="I113" s="27" t="n">
        <v>1087.25</v>
      </c>
      <c r="J113" s="27" t="n">
        <v>0</v>
      </c>
      <c r="K113" s="35" t="n"/>
      <c r="L113" s="35" t="n"/>
      <c r="M113" s="35" t="n"/>
      <c r="N113" s="27" t="n">
        <v>-1400</v>
      </c>
      <c r="O113" s="27" t="n">
        <v>1400</v>
      </c>
    </row>
    <row r="115">
      <c r="A115" s="47"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15" t="inlineStr">
        <is>
          <t>January</t>
        </is>
      </c>
      <c r="B117" s="14" t="n">
        <v>190</v>
      </c>
      <c r="C117" s="14" t="n">
        <v>33.25</v>
      </c>
      <c r="D117" s="14" t="n">
        <v>245.575</v>
      </c>
      <c r="E117" s="14" t="n">
        <v>114</v>
      </c>
      <c r="F117" s="14" t="n">
        <v>17.1</v>
      </c>
      <c r="G117" s="14" t="n">
        <v>144.21</v>
      </c>
      <c r="H117" s="14" t="n">
        <v>37.40000000000001</v>
      </c>
      <c r="I117" s="14" t="n">
        <v>427.1850000000001</v>
      </c>
      <c r="J117" s="24" t="n">
        <v>0</v>
      </c>
      <c r="K117" s="33" t="inlineStr">
        <is>
          <t>n/n/n</t>
        </is>
      </c>
      <c r="L117" s="14" t="n">
        <v>803.3994045000001</v>
      </c>
      <c r="M117" s="48" t="n">
        <v>0.5317218280313027</v>
      </c>
      <c r="N117" s="14" t="n">
        <v>-350</v>
      </c>
      <c r="O117" s="14" t="n">
        <v>350</v>
      </c>
    </row>
    <row r="118">
      <c r="A118" s="15" t="inlineStr">
        <is>
          <t>February</t>
        </is>
      </c>
      <c r="B118" s="14" t="n">
        <v>230</v>
      </c>
      <c r="C118" s="14" t="n">
        <v>40.24999999999999</v>
      </c>
      <c r="D118" s="14" t="n">
        <v>297.275</v>
      </c>
      <c r="E118" s="14" t="n">
        <v>138</v>
      </c>
      <c r="F118" s="14" t="n">
        <v>20.7</v>
      </c>
      <c r="G118" s="14" t="n">
        <v>182.505</v>
      </c>
      <c r="H118" s="14" t="n">
        <v>48.3</v>
      </c>
      <c r="I118" s="14" t="n">
        <v>528.0799999999999</v>
      </c>
      <c r="J118" s="24" t="n">
        <v>0</v>
      </c>
      <c r="K118" s="33" t="inlineStr">
        <is>
          <t>n/n/n</t>
        </is>
      </c>
      <c r="L118" s="14" t="n">
        <v>978.6674205</v>
      </c>
      <c r="M118" s="48" t="n">
        <v>0.539590865025633</v>
      </c>
      <c r="N118" s="14" t="n">
        <v>-350</v>
      </c>
      <c r="O118" s="14" t="n">
        <v>350</v>
      </c>
    </row>
    <row r="119">
      <c r="A119" s="15" t="inlineStr">
        <is>
          <t>March</t>
        </is>
      </c>
      <c r="B119" s="14" t="n">
        <v>270</v>
      </c>
      <c r="C119" s="14" t="n">
        <v>47.25</v>
      </c>
      <c r="D119" s="14" t="n">
        <v>364.8375</v>
      </c>
      <c r="E119" s="14" t="n">
        <v>84</v>
      </c>
      <c r="F119" s="14" t="n">
        <v>12.6</v>
      </c>
      <c r="G119" s="14" t="n">
        <v>111.09</v>
      </c>
      <c r="H119" s="14" t="n">
        <v>29.9</v>
      </c>
      <c r="I119" s="14" t="n">
        <v>505.8274999999999</v>
      </c>
      <c r="J119" s="24" t="n">
        <v>0</v>
      </c>
      <c r="K119" s="33" t="inlineStr">
        <is>
          <t>n/n/n</t>
        </is>
      </c>
      <c r="L119" s="14" t="n">
        <v>963.9092924999999</v>
      </c>
      <c r="M119" s="48" t="n">
        <v>0.5247667015306837</v>
      </c>
      <c r="N119" s="14" t="n">
        <v>-350</v>
      </c>
      <c r="O119" s="14" t="n">
        <v>350</v>
      </c>
    </row>
    <row r="120">
      <c r="A120" s="15" t="inlineStr">
        <is>
          <t>April</t>
        </is>
      </c>
      <c r="B120" s="14" t="n">
        <v>230</v>
      </c>
      <c r="C120" s="14" t="n">
        <v>40.24999999999999</v>
      </c>
      <c r="D120" s="14" t="n">
        <v>297.275</v>
      </c>
      <c r="E120" s="14" t="n">
        <v>102</v>
      </c>
      <c r="F120" s="14" t="n">
        <v>15.3</v>
      </c>
      <c r="G120" s="14" t="n">
        <v>134.895</v>
      </c>
      <c r="H120" s="14" t="n">
        <v>34.5</v>
      </c>
      <c r="I120" s="14" t="n">
        <v>466.67</v>
      </c>
      <c r="J120" s="24" t="n">
        <v>0</v>
      </c>
      <c r="K120" s="33" t="inlineStr">
        <is>
          <t>n/n/n</t>
        </is>
      </c>
      <c r="L120" s="14" t="n">
        <v>827.4292784999999</v>
      </c>
      <c r="M120" s="48" t="n">
        <v>0.5639998633430036</v>
      </c>
      <c r="N120" s="14" t="n">
        <v>-350</v>
      </c>
      <c r="O120" s="14" t="n">
        <v>350</v>
      </c>
    </row>
    <row r="121">
      <c r="A121" s="26" t="inlineStr">
        <is>
          <t>4-Month Total</t>
        </is>
      </c>
      <c r="B121" s="35" t="n"/>
      <c r="C121" s="35" t="n"/>
      <c r="D121" s="35" t="n"/>
      <c r="E121" s="35" t="n"/>
      <c r="F121" s="35" t="n"/>
      <c r="G121" s="35" t="n"/>
      <c r="H121" s="35" t="n"/>
      <c r="I121" s="27" t="n">
        <v>1927.7625</v>
      </c>
      <c r="J121" s="27" t="n">
        <v>0</v>
      </c>
      <c r="K121" s="35" t="n"/>
      <c r="L121" s="35" t="n"/>
      <c r="M121" s="35" t="n"/>
      <c r="N121" s="27" t="n">
        <v>-1400</v>
      </c>
      <c r="O121" s="27" t="n">
        <v>1400</v>
      </c>
    </row>
    <row r="123">
      <c r="A123" s="49" t="inlineStr">
        <is>
          <t>PROPOSAL C - PERSISTENCY (BONUS IDEA)</t>
        </is>
      </c>
    </row>
    <row r="124">
      <c r="A124" s="6" t="inlineStr">
        <is>
          <t>Month</t>
        </is>
      </c>
      <c r="B124" s="6" t="inlineStr">
        <is>
          <t>NB ($8 x ct)</t>
        </is>
      </c>
      <c r="C124" s="6" t="inlineStr">
        <is>
          <t>REN ($8 x ct)</t>
        </is>
      </c>
      <c r="D124" s="6" t="inlineStr">
        <is>
          <t>RWR ($1 x ct)</t>
        </is>
      </c>
      <c r="E124" s="6" t="inlineStr">
        <is>
          <t>NB Target</t>
        </is>
      </c>
      <c r="F124" s="6" t="inlineStr">
        <is>
          <t>REN Target</t>
        </is>
      </c>
      <c r="G124" s="6" t="inlineStr">
        <is>
          <t>RWR Target</t>
        </is>
      </c>
      <c r="H124" s="6" t="inlineStr">
        <is>
          <t>Total Target (no min)</t>
        </is>
      </c>
      <c r="I124" s="6" t="inlineStr">
        <is>
          <t>PAID after MIN</t>
        </is>
      </c>
      <c r="J124" s="6" t="inlineStr">
        <is>
          <t>Gates (NB/REN/RWR)</t>
        </is>
      </c>
      <c r="K124" s="6" t="inlineStr">
        <is>
          <t>Safe Net</t>
        </is>
      </c>
      <c r="L124" s="6" t="inlineStr">
        <is>
          <t>Bonus % SN</t>
        </is>
      </c>
      <c r="M124" s="6" t="inlineStr">
        <is>
          <t>vs Current</t>
        </is>
      </c>
      <c r="N124" s="6" t="inlineStr">
        <is>
          <t>Current Bonus</t>
        </is>
      </c>
    </row>
    <row r="125">
      <c r="A125" s="18" t="inlineStr">
        <is>
          <t>January</t>
        </is>
      </c>
      <c r="B125" s="17" t="n">
        <v>152</v>
      </c>
      <c r="C125" s="17" t="n">
        <v>152</v>
      </c>
      <c r="D125" s="17" t="n">
        <v>17</v>
      </c>
      <c r="E125" s="17" t="n">
        <v>167.2</v>
      </c>
      <c r="F125" s="17" t="n">
        <v>167.2</v>
      </c>
      <c r="G125" s="17" t="n">
        <v>18.7</v>
      </c>
      <c r="H125" s="17" t="n">
        <v>353.1</v>
      </c>
      <c r="I125" s="25" t="n">
        <v>0</v>
      </c>
      <c r="J125" s="33" t="inlineStr">
        <is>
          <t>n/n/n</t>
        </is>
      </c>
      <c r="K125" s="17" t="n">
        <v>803.3994045000001</v>
      </c>
      <c r="L125" s="50" t="n">
        <v>0.4395074206206983</v>
      </c>
      <c r="M125" s="17" t="n">
        <v>-350</v>
      </c>
      <c r="N125" s="17" t="n">
        <v>350</v>
      </c>
    </row>
    <row r="126">
      <c r="A126" s="18" t="inlineStr">
        <is>
          <t>February</t>
        </is>
      </c>
      <c r="B126" s="17" t="n">
        <v>184</v>
      </c>
      <c r="C126" s="17" t="n">
        <v>184</v>
      </c>
      <c r="D126" s="17" t="n">
        <v>21</v>
      </c>
      <c r="E126" s="17" t="n">
        <v>202.4</v>
      </c>
      <c r="F126" s="17" t="n">
        <v>211.6</v>
      </c>
      <c r="G126" s="17" t="n">
        <v>24.15</v>
      </c>
      <c r="H126" s="17" t="n">
        <v>438.15</v>
      </c>
      <c r="I126" s="25" t="n">
        <v>0</v>
      </c>
      <c r="J126" s="33" t="inlineStr">
        <is>
          <t>n/n/n</t>
        </is>
      </c>
      <c r="K126" s="17" t="n">
        <v>978.6674205</v>
      </c>
      <c r="L126" s="50" t="n">
        <v>0.4477006088300657</v>
      </c>
      <c r="M126" s="17" t="n">
        <v>-350</v>
      </c>
      <c r="N126" s="17" t="n">
        <v>350</v>
      </c>
    </row>
    <row r="127">
      <c r="A127" s="18" t="inlineStr">
        <is>
          <t>March</t>
        </is>
      </c>
      <c r="B127" s="17" t="n">
        <v>216</v>
      </c>
      <c r="C127" s="17" t="n">
        <v>112</v>
      </c>
      <c r="D127" s="17" t="n">
        <v>13</v>
      </c>
      <c r="E127" s="17" t="n">
        <v>248.4</v>
      </c>
      <c r="F127" s="17" t="n">
        <v>128.8</v>
      </c>
      <c r="G127" s="17" t="n">
        <v>14.95</v>
      </c>
      <c r="H127" s="17" t="n">
        <v>392.1499999999999</v>
      </c>
      <c r="I127" s="25" t="n">
        <v>0</v>
      </c>
      <c r="J127" s="33" t="inlineStr">
        <is>
          <t>n/n/n</t>
        </is>
      </c>
      <c r="K127" s="17" t="n">
        <v>963.9092924999999</v>
      </c>
      <c r="L127" s="50" t="n">
        <v>0.4068328867158421</v>
      </c>
      <c r="M127" s="17" t="n">
        <v>-350</v>
      </c>
      <c r="N127" s="17" t="n">
        <v>350</v>
      </c>
    </row>
    <row r="128">
      <c r="A128" s="18" t="inlineStr">
        <is>
          <t>April</t>
        </is>
      </c>
      <c r="B128" s="17" t="n">
        <v>184</v>
      </c>
      <c r="C128" s="17" t="n">
        <v>136</v>
      </c>
      <c r="D128" s="17" t="n">
        <v>15</v>
      </c>
      <c r="E128" s="17" t="n">
        <v>202.4</v>
      </c>
      <c r="F128" s="17" t="n">
        <v>156.4</v>
      </c>
      <c r="G128" s="17" t="n">
        <v>17.25</v>
      </c>
      <c r="H128" s="17" t="n">
        <v>376.05</v>
      </c>
      <c r="I128" s="25" t="n">
        <v>0</v>
      </c>
      <c r="J128" s="33" t="inlineStr">
        <is>
          <t>n/n/n</t>
        </is>
      </c>
      <c r="K128" s="17" t="n">
        <v>827.4292784999999</v>
      </c>
      <c r="L128" s="50" t="n">
        <v>0.4544799293079402</v>
      </c>
      <c r="M128" s="17" t="n">
        <v>-350</v>
      </c>
      <c r="N128" s="17" t="n">
        <v>350</v>
      </c>
    </row>
    <row r="129">
      <c r="A129" s="26" t="inlineStr">
        <is>
          <t>4-Month Total</t>
        </is>
      </c>
      <c r="B129" s="35" t="n"/>
      <c r="C129" s="35" t="n"/>
      <c r="D129" s="35" t="n"/>
      <c r="E129" s="35" t="n"/>
      <c r="F129" s="35" t="n"/>
      <c r="G129" s="35" t="n"/>
      <c r="H129" s="27" t="n">
        <v>1559.45</v>
      </c>
      <c r="I129" s="27" t="n">
        <v>0</v>
      </c>
      <c r="J129" s="35" t="n"/>
      <c r="K129" s="35" t="n"/>
      <c r="L129" s="35" t="n"/>
      <c r="M129" s="27" t="n">
        <v>-1400</v>
      </c>
      <c r="N129" s="27" t="n">
        <v>1400</v>
      </c>
    </row>
    <row r="132" ht="22" customHeight="1">
      <c r="A132" s="5" t="inlineStr">
        <is>
          <t>Thalia Rojas</t>
        </is>
      </c>
    </row>
    <row r="133">
      <c r="A133" s="6" t="inlineStr">
        <is>
          <t>Month</t>
        </is>
      </c>
      <c r="B133" s="6" t="inlineStr">
        <is>
          <t>NB Count</t>
        </is>
      </c>
      <c r="C133" s="6" t="inlineStr">
        <is>
          <t>NB Premium</t>
        </is>
      </c>
      <c r="D133" s="6" t="inlineStr">
        <is>
          <t>NB Collected</t>
        </is>
      </c>
      <c r="E133" s="6" t="inlineStr">
        <is>
          <t>NB Coll %</t>
        </is>
      </c>
      <c r="F133" s="6" t="inlineStr">
        <is>
          <t>RWR Count</t>
        </is>
      </c>
      <c r="G133" s="6" t="inlineStr">
        <is>
          <t>RWR Premium</t>
        </is>
      </c>
      <c r="H133" s="6" t="inlineStr">
        <is>
          <t>RWR Collected</t>
        </is>
      </c>
      <c r="I133" s="6" t="inlineStr">
        <is>
          <t>RWR Coll %</t>
        </is>
      </c>
      <c r="J133" s="6" t="inlineStr">
        <is>
          <t>REN Count</t>
        </is>
      </c>
      <c r="K133" s="6" t="inlineStr">
        <is>
          <t>REN Premium</t>
        </is>
      </c>
      <c r="L133" s="6" t="inlineStr">
        <is>
          <t>REN Collected</t>
        </is>
      </c>
      <c r="M133" s="6" t="inlineStr">
        <is>
          <t>REN Coll %</t>
        </is>
      </c>
      <c r="N133" s="6" t="inlineStr">
        <is>
          <t>Avg NB Prem</t>
        </is>
      </c>
      <c r="O133" s="6" t="inlineStr">
        <is>
          <t>Avg REN Prem</t>
        </is>
      </c>
      <c r="P133" s="6" t="inlineStr">
        <is>
          <t>Total Collected</t>
        </is>
      </c>
      <c r="Q133" s="6" t="inlineStr">
        <is>
          <t>Safe Net</t>
        </is>
      </c>
      <c r="R133" s="6" t="inlineStr">
        <is>
          <t>Cap</t>
        </is>
      </c>
    </row>
    <row r="134">
      <c r="A134" s="20" t="inlineStr">
        <is>
          <t>January</t>
        </is>
      </c>
      <c r="B134" s="21" t="n">
        <v>10</v>
      </c>
      <c r="C134" s="22" t="n">
        <v>15503.9</v>
      </c>
      <c r="D134" s="22" t="n">
        <v>2238.28</v>
      </c>
      <c r="E134" s="44" t="n">
        <v>0.1443688362283039</v>
      </c>
      <c r="F134" s="21" t="n">
        <v>14</v>
      </c>
      <c r="G134" s="22" t="n">
        <v>16541.965</v>
      </c>
      <c r="H134" s="22" t="n">
        <v>3230.74</v>
      </c>
      <c r="I134" s="44" t="n">
        <v>0.1953056967536807</v>
      </c>
      <c r="J134" s="21" t="n">
        <v>18</v>
      </c>
      <c r="K134" s="22" t="n">
        <v>20231.965</v>
      </c>
      <c r="L134" s="22" t="n">
        <v>3872.78</v>
      </c>
      <c r="M134" s="44" t="n">
        <v>0.1914188760211873</v>
      </c>
      <c r="N134" s="22" t="n">
        <v>1550.39</v>
      </c>
      <c r="O134" s="22" t="n">
        <v>1123.998055555556</v>
      </c>
      <c r="P134" s="22" t="n">
        <v>9341.799999999999</v>
      </c>
      <c r="Q134" s="22" t="n">
        <v>508.6610099999999</v>
      </c>
      <c r="R134" s="22" t="n">
        <v>203.464404</v>
      </c>
    </row>
    <row r="135">
      <c r="A135" s="20" t="inlineStr">
        <is>
          <t>February</t>
        </is>
      </c>
      <c r="B135" s="21" t="n">
        <v>14</v>
      </c>
      <c r="C135" s="22" t="n">
        <v>19414.25</v>
      </c>
      <c r="D135" s="22" t="n">
        <v>3640.91</v>
      </c>
      <c r="E135" s="44" t="n">
        <v>0.1875380197535315</v>
      </c>
      <c r="F135" s="21" t="n">
        <v>12</v>
      </c>
      <c r="G135" s="22" t="n">
        <v>14149.08</v>
      </c>
      <c r="H135" s="22" t="n">
        <v>2638.06</v>
      </c>
      <c r="I135" s="44" t="n">
        <v>0.186447458067945</v>
      </c>
      <c r="J135" s="21" t="n">
        <v>17</v>
      </c>
      <c r="K135" s="22" t="n">
        <v>21595.08</v>
      </c>
      <c r="L135" s="22" t="n">
        <v>5931.2</v>
      </c>
      <c r="M135" s="44" t="n">
        <v>0.2746551529329829</v>
      </c>
      <c r="N135" s="22" t="n">
        <v>1386.732142857143</v>
      </c>
      <c r="O135" s="22" t="n">
        <v>1270.298823529412</v>
      </c>
      <c r="P135" s="22" t="n">
        <v>12210.17</v>
      </c>
      <c r="Q135" s="22" t="n">
        <v>664.8437564999998</v>
      </c>
      <c r="R135" s="22" t="n">
        <v>265.9375026</v>
      </c>
    </row>
    <row r="136">
      <c r="A136" s="20" t="inlineStr">
        <is>
          <t>March</t>
        </is>
      </c>
      <c r="B136" s="21" t="n">
        <v>19</v>
      </c>
      <c r="C136" s="22" t="n">
        <v>17843.69</v>
      </c>
      <c r="D136" s="22" t="n">
        <v>4965.76</v>
      </c>
      <c r="E136" s="44" t="n">
        <v>0.2782922142225067</v>
      </c>
      <c r="F136" s="21" t="n">
        <v>9</v>
      </c>
      <c r="G136" s="22" t="n">
        <v>9920.424999999999</v>
      </c>
      <c r="H136" s="22" t="n">
        <v>1990.82</v>
      </c>
      <c r="I136" s="44" t="n">
        <v>0.2006789023655741</v>
      </c>
      <c r="J136" s="21" t="n">
        <v>16</v>
      </c>
      <c r="K136" s="22" t="n">
        <v>15564.325</v>
      </c>
      <c r="L136" s="22" t="n">
        <v>3566.68</v>
      </c>
      <c r="M136" s="44" t="n">
        <v>0.2291573839533677</v>
      </c>
      <c r="N136" s="22" t="n">
        <v>939.1415789473683</v>
      </c>
      <c r="O136" s="22" t="n">
        <v>972.7703124999999</v>
      </c>
      <c r="P136" s="22" t="n">
        <v>10523.26</v>
      </c>
      <c r="Q136" s="22" t="n">
        <v>572.991507</v>
      </c>
      <c r="R136" s="22" t="n">
        <v>229.1966028</v>
      </c>
    </row>
    <row r="137">
      <c r="A137" s="20" t="inlineStr">
        <is>
          <t>April</t>
        </is>
      </c>
      <c r="B137" s="21" t="n">
        <v>9</v>
      </c>
      <c r="C137" s="22" t="n">
        <v>14099</v>
      </c>
      <c r="D137" s="22" t="n">
        <v>3941.94</v>
      </c>
      <c r="E137" s="44" t="n">
        <v>0.2795900418469395</v>
      </c>
      <c r="F137" s="21" t="n">
        <v>15</v>
      </c>
      <c r="G137" s="22" t="n">
        <v>19897.2</v>
      </c>
      <c r="H137" s="22" t="n">
        <v>3837.45</v>
      </c>
      <c r="I137" s="44" t="n">
        <v>0.1928638200349798</v>
      </c>
      <c r="J137" s="21" t="n">
        <v>17</v>
      </c>
      <c r="K137" s="22" t="n">
        <v>23514.2</v>
      </c>
      <c r="L137" s="22" t="n">
        <v>6934.03</v>
      </c>
      <c r="M137" s="44" t="n">
        <v>0.2948869193933878</v>
      </c>
      <c r="N137" s="22" t="n">
        <v>1566.555555555556</v>
      </c>
      <c r="O137" s="22" t="n">
        <v>1383.188235294118</v>
      </c>
      <c r="P137" s="22" t="n">
        <v>14713.42</v>
      </c>
      <c r="Q137" s="22" t="n">
        <v>801.1457189999998</v>
      </c>
      <c r="R137" s="22" t="n">
        <v>320.4582875999999</v>
      </c>
    </row>
    <row r="139">
      <c r="A139" s="45" t="inlineStr">
        <is>
          <t>PROPOSAL A - PREMIUM-BASED</t>
        </is>
      </c>
    </row>
    <row r="140">
      <c r="A140" s="6" t="inlineStr">
        <is>
          <t>Month</t>
        </is>
      </c>
      <c r="B140" s="6" t="inlineStr">
        <is>
          <t>NB Tier</t>
        </is>
      </c>
      <c r="C140" s="6" t="inlineStr">
        <is>
          <t>NB Per-Policy $</t>
        </is>
      </c>
      <c r="D140" s="6" t="inlineStr">
        <is>
          <t>NB Target (w/ kicker)</t>
        </is>
      </c>
      <c r="E140" s="6" t="inlineStr">
        <is>
          <t>REN Tier</t>
        </is>
      </c>
      <c r="F140" s="6" t="inlineStr">
        <is>
          <t>REN Per-Policy $</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12" t="inlineStr">
        <is>
          <t>January</t>
        </is>
      </c>
      <c r="B141" s="12" t="inlineStr">
        <is>
          <t>$1,200-$1,799</t>
        </is>
      </c>
      <c r="C141" s="11" t="n">
        <v>7</v>
      </c>
      <c r="D141" s="11" t="n">
        <v>70</v>
      </c>
      <c r="E141" s="12" t="inlineStr">
        <is>
          <t>Under $1,200</t>
        </is>
      </c>
      <c r="F141" s="11" t="n">
        <v>4</v>
      </c>
      <c r="G141" s="11" t="n">
        <v>79.2</v>
      </c>
      <c r="H141" s="11" t="n">
        <v>30.8</v>
      </c>
      <c r="I141" s="11" t="n">
        <v>180</v>
      </c>
      <c r="J141" s="23" t="n">
        <v>0</v>
      </c>
      <c r="K141" s="33" t="inlineStr">
        <is>
          <t>n/n/n</t>
        </is>
      </c>
      <c r="L141" s="11" t="n">
        <v>508.6610099999999</v>
      </c>
      <c r="M141" s="46" t="n">
        <v>0.353870252410343</v>
      </c>
      <c r="N141" s="11" t="n">
        <v>0</v>
      </c>
      <c r="O141" s="11" t="n">
        <v>0</v>
      </c>
    </row>
    <row r="142">
      <c r="A142" s="12" t="inlineStr">
        <is>
          <t>February</t>
        </is>
      </c>
      <c r="B142" s="12" t="inlineStr">
        <is>
          <t>$1,200-$1,799</t>
        </is>
      </c>
      <c r="C142" s="11" t="n">
        <v>7</v>
      </c>
      <c r="D142" s="11" t="n">
        <v>107.8</v>
      </c>
      <c r="E142" s="12" t="inlineStr">
        <is>
          <t>$1,200-$1,799</t>
        </is>
      </c>
      <c r="F142" s="11" t="n">
        <v>5</v>
      </c>
      <c r="G142" s="11" t="n">
        <v>97.74999999999999</v>
      </c>
      <c r="H142" s="11" t="n">
        <v>26.4</v>
      </c>
      <c r="I142" s="11" t="n">
        <v>231.95</v>
      </c>
      <c r="J142" s="23" t="n">
        <v>0</v>
      </c>
      <c r="K142" s="33" t="inlineStr">
        <is>
          <t>n/n/n</t>
        </is>
      </c>
      <c r="L142" s="11" t="n">
        <v>664.8437564999998</v>
      </c>
      <c r="M142" s="46" t="n">
        <v>0.3488789625115478</v>
      </c>
      <c r="N142" s="11" t="n">
        <v>0</v>
      </c>
      <c r="O142" s="11" t="n">
        <v>0</v>
      </c>
    </row>
    <row r="143">
      <c r="A143" s="12" t="inlineStr">
        <is>
          <t>March</t>
        </is>
      </c>
      <c r="B143" s="12" t="inlineStr">
        <is>
          <t>Under $1,200</t>
        </is>
      </c>
      <c r="C143" s="11" t="n">
        <v>5</v>
      </c>
      <c r="D143" s="11" t="n">
        <v>109.25</v>
      </c>
      <c r="E143" s="12" t="inlineStr">
        <is>
          <t>Under $1,200</t>
        </is>
      </c>
      <c r="F143" s="11" t="n">
        <v>4</v>
      </c>
      <c r="G143" s="11" t="n">
        <v>70.40000000000001</v>
      </c>
      <c r="H143" s="11" t="n">
        <v>19.8</v>
      </c>
      <c r="I143" s="11" t="n">
        <v>199.45</v>
      </c>
      <c r="J143" s="23" t="n">
        <v>0</v>
      </c>
      <c r="K143" s="33" t="inlineStr">
        <is>
          <t>n/n/n</t>
        </is>
      </c>
      <c r="L143" s="11" t="n">
        <v>572.991507</v>
      </c>
      <c r="M143" s="46" t="n">
        <v>0.348085438550837</v>
      </c>
      <c r="N143" s="11" t="n">
        <v>0</v>
      </c>
      <c r="O143" s="11" t="n">
        <v>0</v>
      </c>
    </row>
    <row r="144">
      <c r="A144" s="12" t="inlineStr">
        <is>
          <t>April</t>
        </is>
      </c>
      <c r="B144" s="12" t="inlineStr">
        <is>
          <t>$1,200-$1,799</t>
        </is>
      </c>
      <c r="C144" s="11" t="n">
        <v>7</v>
      </c>
      <c r="D144" s="11" t="n">
        <v>72.44999999999999</v>
      </c>
      <c r="E144" s="12" t="inlineStr">
        <is>
          <t>$1,200-$1,799</t>
        </is>
      </c>
      <c r="F144" s="11" t="n">
        <v>5</v>
      </c>
      <c r="G144" s="11" t="n">
        <v>97.74999999999999</v>
      </c>
      <c r="H144" s="11" t="n">
        <v>33</v>
      </c>
      <c r="I144" s="11" t="n">
        <v>203.2</v>
      </c>
      <c r="J144" s="23" t="n">
        <v>0</v>
      </c>
      <c r="K144" s="33" t="inlineStr">
        <is>
          <t>n/n/n</t>
        </is>
      </c>
      <c r="L144" s="11" t="n">
        <v>801.1457189999998</v>
      </c>
      <c r="M144" s="46" t="n">
        <v>0.2536367544391759</v>
      </c>
      <c r="N144" s="11" t="n">
        <v>0</v>
      </c>
      <c r="O144" s="11" t="n">
        <v>0</v>
      </c>
    </row>
    <row r="145">
      <c r="A145" s="26" t="inlineStr">
        <is>
          <t>4-Month Total</t>
        </is>
      </c>
      <c r="B145" s="35" t="n"/>
      <c r="C145" s="35" t="n"/>
      <c r="D145" s="35" t="n"/>
      <c r="E145" s="35" t="n"/>
      <c r="F145" s="35" t="n"/>
      <c r="G145" s="35" t="n"/>
      <c r="H145" s="35" t="n"/>
      <c r="I145" s="27" t="n">
        <v>814.6000000000001</v>
      </c>
      <c r="J145" s="27" t="n">
        <v>0</v>
      </c>
      <c r="K145" s="35" t="n"/>
      <c r="L145" s="35" t="n"/>
      <c r="M145" s="35" t="n"/>
      <c r="N145" s="27" t="n">
        <v>0</v>
      </c>
      <c r="O145" s="27" t="n">
        <v>0</v>
      </c>
    </row>
    <row r="147">
      <c r="A147" s="47" t="inlineStr">
        <is>
          <t>PROPOSAL B - COVERAGE-BASED</t>
        </is>
      </c>
    </row>
    <row r="148">
      <c r="A148" s="6" t="inlineStr">
        <is>
          <t>Month</t>
        </is>
      </c>
      <c r="B148" s="6" t="inlineStr">
        <is>
          <t>NB Base ($10 x ct)</t>
        </is>
      </c>
      <c r="C148" s="6" t="inlineStr">
        <is>
          <t>NB Liab Add ($5 x 35%)</t>
        </is>
      </c>
      <c r="D148" s="6" t="inlineStr">
        <is>
          <t>NB Target (w/ kicker)</t>
        </is>
      </c>
      <c r="E148" s="6" t="inlineStr">
        <is>
          <t>REN Base ($6 x ct)</t>
        </is>
      </c>
      <c r="F148" s="6" t="inlineStr">
        <is>
          <t>REN Liab Add ($3 x 30%)</t>
        </is>
      </c>
      <c r="G148" s="6" t="inlineStr">
        <is>
          <t>REN Target (w/ kicker)</t>
        </is>
      </c>
      <c r="H148" s="6" t="inlineStr">
        <is>
          <t>RWR Target (w/ kicker)</t>
        </is>
      </c>
      <c r="I148" s="6" t="inlineStr">
        <is>
          <t>Total Target (no min)</t>
        </is>
      </c>
      <c r="J148" s="6" t="inlineStr">
        <is>
          <t>PAID after MIN</t>
        </is>
      </c>
      <c r="K148" s="6" t="inlineStr">
        <is>
          <t>Gates (NB/REN/RWR)</t>
        </is>
      </c>
      <c r="L148" s="6" t="inlineStr">
        <is>
          <t>Safe Net</t>
        </is>
      </c>
      <c r="M148" s="6" t="inlineStr">
        <is>
          <t>Bonus % SN</t>
        </is>
      </c>
      <c r="N148" s="6" t="inlineStr">
        <is>
          <t>vs Current</t>
        </is>
      </c>
      <c r="O148" s="6" t="inlineStr">
        <is>
          <t>Current Bonus</t>
        </is>
      </c>
    </row>
    <row r="149">
      <c r="A149" s="15" t="inlineStr">
        <is>
          <t>January</t>
        </is>
      </c>
      <c r="B149" s="14" t="n">
        <v>100</v>
      </c>
      <c r="C149" s="14" t="n">
        <v>17.5</v>
      </c>
      <c r="D149" s="14" t="n">
        <v>117.5</v>
      </c>
      <c r="E149" s="14" t="n">
        <v>108</v>
      </c>
      <c r="F149" s="14" t="n">
        <v>16.2</v>
      </c>
      <c r="G149" s="14" t="n">
        <v>136.62</v>
      </c>
      <c r="H149" s="14" t="n">
        <v>30.8</v>
      </c>
      <c r="I149" s="14" t="n">
        <v>284.92</v>
      </c>
      <c r="J149" s="24" t="n">
        <v>0</v>
      </c>
      <c r="K149" s="33" t="inlineStr">
        <is>
          <t>n/n/n</t>
        </is>
      </c>
      <c r="L149" s="14" t="n">
        <v>508.6610099999999</v>
      </c>
      <c r="M149" s="48" t="n">
        <v>0.5601372906486386</v>
      </c>
      <c r="N149" s="14" t="n">
        <v>0</v>
      </c>
      <c r="O149" s="14" t="n">
        <v>0</v>
      </c>
    </row>
    <row r="150">
      <c r="A150" s="15" t="inlineStr">
        <is>
          <t>February</t>
        </is>
      </c>
      <c r="B150" s="14" t="n">
        <v>140</v>
      </c>
      <c r="C150" s="14" t="n">
        <v>24.5</v>
      </c>
      <c r="D150" s="14" t="n">
        <v>180.95</v>
      </c>
      <c r="E150" s="14" t="n">
        <v>102</v>
      </c>
      <c r="F150" s="14" t="n">
        <v>15.3</v>
      </c>
      <c r="G150" s="14" t="n">
        <v>134.895</v>
      </c>
      <c r="H150" s="14" t="n">
        <v>26.4</v>
      </c>
      <c r="I150" s="14" t="n">
        <v>342.245</v>
      </c>
      <c r="J150" s="24" t="n">
        <v>0</v>
      </c>
      <c r="K150" s="33" t="inlineStr">
        <is>
          <t>n/n/n</t>
        </is>
      </c>
      <c r="L150" s="14" t="n">
        <v>664.8437564999998</v>
      </c>
      <c r="M150" s="48" t="n">
        <v>0.5147750830987914</v>
      </c>
      <c r="N150" s="14" t="n">
        <v>0</v>
      </c>
      <c r="O150" s="14" t="n">
        <v>0</v>
      </c>
    </row>
    <row r="151">
      <c r="A151" s="15" t="inlineStr">
        <is>
          <t>March</t>
        </is>
      </c>
      <c r="B151" s="14" t="n">
        <v>190</v>
      </c>
      <c r="C151" s="14" t="n">
        <v>33.25</v>
      </c>
      <c r="D151" s="14" t="n">
        <v>256.7375</v>
      </c>
      <c r="E151" s="14" t="n">
        <v>96</v>
      </c>
      <c r="F151" s="14" t="n">
        <v>14.4</v>
      </c>
      <c r="G151" s="14" t="n">
        <v>121.44</v>
      </c>
      <c r="H151" s="14" t="n">
        <v>19.8</v>
      </c>
      <c r="I151" s="14" t="n">
        <v>397.9775</v>
      </c>
      <c r="J151" s="24" t="n">
        <v>0</v>
      </c>
      <c r="K151" s="33" t="inlineStr">
        <is>
          <t>n/n/n</t>
        </is>
      </c>
      <c r="L151" s="14" t="n">
        <v>572.991507</v>
      </c>
      <c r="M151" s="48" t="n">
        <v>0.6945609055947142</v>
      </c>
      <c r="N151" s="14" t="n">
        <v>0</v>
      </c>
      <c r="O151" s="14" t="n">
        <v>0</v>
      </c>
    </row>
    <row r="152">
      <c r="A152" s="15" t="inlineStr">
        <is>
          <t>April</t>
        </is>
      </c>
      <c r="B152" s="14" t="n">
        <v>90</v>
      </c>
      <c r="C152" s="14" t="n">
        <v>15.75</v>
      </c>
      <c r="D152" s="14" t="n">
        <v>121.6125</v>
      </c>
      <c r="E152" s="14" t="n">
        <v>102</v>
      </c>
      <c r="F152" s="14" t="n">
        <v>15.3</v>
      </c>
      <c r="G152" s="14" t="n">
        <v>134.895</v>
      </c>
      <c r="H152" s="14" t="n">
        <v>33</v>
      </c>
      <c r="I152" s="14" t="n">
        <v>289.5075</v>
      </c>
      <c r="J152" s="24" t="n">
        <v>0</v>
      </c>
      <c r="K152" s="33" t="inlineStr">
        <is>
          <t>n/n/n</t>
        </is>
      </c>
      <c r="L152" s="14" t="n">
        <v>801.1457189999998</v>
      </c>
      <c r="M152" s="48" t="n">
        <v>0.3613668439261798</v>
      </c>
      <c r="N152" s="14" t="n">
        <v>0</v>
      </c>
      <c r="O152" s="14" t="n">
        <v>0</v>
      </c>
    </row>
    <row r="153">
      <c r="A153" s="26" t="inlineStr">
        <is>
          <t>4-Month Total</t>
        </is>
      </c>
      <c r="B153" s="35" t="n"/>
      <c r="C153" s="35" t="n"/>
      <c r="D153" s="35" t="n"/>
      <c r="E153" s="35" t="n"/>
      <c r="F153" s="35" t="n"/>
      <c r="G153" s="35" t="n"/>
      <c r="H153" s="35" t="n"/>
      <c r="I153" s="27" t="n">
        <v>1314.65</v>
      </c>
      <c r="J153" s="27" t="n">
        <v>0</v>
      </c>
      <c r="K153" s="35" t="n"/>
      <c r="L153" s="35" t="n"/>
      <c r="M153" s="35" t="n"/>
      <c r="N153" s="27" t="n">
        <v>0</v>
      </c>
      <c r="O153" s="27" t="n">
        <v>0</v>
      </c>
    </row>
    <row r="155">
      <c r="A155" s="49" t="inlineStr">
        <is>
          <t>PROPOSAL C - PERSISTENCY (BONUS IDEA)</t>
        </is>
      </c>
    </row>
    <row r="156">
      <c r="A156" s="6" t="inlineStr">
        <is>
          <t>Month</t>
        </is>
      </c>
      <c r="B156" s="6" t="inlineStr">
        <is>
          <t>NB ($8 x ct)</t>
        </is>
      </c>
      <c r="C156" s="6" t="inlineStr">
        <is>
          <t>REN ($8 x ct)</t>
        </is>
      </c>
      <c r="D156" s="6" t="inlineStr">
        <is>
          <t>RWR ($1 x ct)</t>
        </is>
      </c>
      <c r="E156" s="6" t="inlineStr">
        <is>
          <t>NB Target</t>
        </is>
      </c>
      <c r="F156" s="6" t="inlineStr">
        <is>
          <t>REN Target</t>
        </is>
      </c>
      <c r="G156" s="6" t="inlineStr">
        <is>
          <t>RWR Target</t>
        </is>
      </c>
      <c r="H156" s="6" t="inlineStr">
        <is>
          <t>Total Target (no min)</t>
        </is>
      </c>
      <c r="I156" s="6" t="inlineStr">
        <is>
          <t>PAID after MIN</t>
        </is>
      </c>
      <c r="J156" s="6" t="inlineStr">
        <is>
          <t>Gates (NB/REN/RWR)</t>
        </is>
      </c>
      <c r="K156" s="6" t="inlineStr">
        <is>
          <t>Safe Net</t>
        </is>
      </c>
      <c r="L156" s="6" t="inlineStr">
        <is>
          <t>Bonus % SN</t>
        </is>
      </c>
      <c r="M156" s="6" t="inlineStr">
        <is>
          <t>vs Current</t>
        </is>
      </c>
      <c r="N156" s="6" t="inlineStr">
        <is>
          <t>Current Bonus</t>
        </is>
      </c>
    </row>
    <row r="157">
      <c r="A157" s="18" t="inlineStr">
        <is>
          <t>January</t>
        </is>
      </c>
      <c r="B157" s="17" t="n">
        <v>80</v>
      </c>
      <c r="C157" s="17" t="n">
        <v>144</v>
      </c>
      <c r="D157" s="17" t="n">
        <v>14</v>
      </c>
      <c r="E157" s="17" t="n">
        <v>80</v>
      </c>
      <c r="F157" s="17" t="n">
        <v>158.4</v>
      </c>
      <c r="G157" s="17" t="n">
        <v>15.4</v>
      </c>
      <c r="H157" s="17" t="n">
        <v>253.8</v>
      </c>
      <c r="I157" s="25" t="n">
        <v>0</v>
      </c>
      <c r="J157" s="33" t="inlineStr">
        <is>
          <t>n/n/n</t>
        </is>
      </c>
      <c r="K157" s="17" t="n">
        <v>508.6610099999999</v>
      </c>
      <c r="L157" s="50" t="n">
        <v>0.4989570558985837</v>
      </c>
      <c r="M157" s="17" t="n">
        <v>0</v>
      </c>
      <c r="N157" s="17" t="n">
        <v>0</v>
      </c>
    </row>
    <row r="158">
      <c r="A158" s="18" t="inlineStr">
        <is>
          <t>February</t>
        </is>
      </c>
      <c r="B158" s="17" t="n">
        <v>112</v>
      </c>
      <c r="C158" s="17" t="n">
        <v>136</v>
      </c>
      <c r="D158" s="17" t="n">
        <v>12</v>
      </c>
      <c r="E158" s="17" t="n">
        <v>123.2</v>
      </c>
      <c r="F158" s="17" t="n">
        <v>156.4</v>
      </c>
      <c r="G158" s="17" t="n">
        <v>13.2</v>
      </c>
      <c r="H158" s="17" t="n">
        <v>292.8</v>
      </c>
      <c r="I158" s="25" t="n">
        <v>0</v>
      </c>
      <c r="J158" s="33" t="inlineStr">
        <is>
          <t>n/n/n</t>
        </is>
      </c>
      <c r="K158" s="17" t="n">
        <v>664.8437564999998</v>
      </c>
      <c r="L158" s="50" t="n">
        <v>0.4404042260115593</v>
      </c>
      <c r="M158" s="17" t="n">
        <v>0</v>
      </c>
      <c r="N158" s="17" t="n">
        <v>0</v>
      </c>
    </row>
    <row r="159">
      <c r="A159" s="18" t="inlineStr">
        <is>
          <t>March</t>
        </is>
      </c>
      <c r="B159" s="17" t="n">
        <v>152</v>
      </c>
      <c r="C159" s="17" t="n">
        <v>128</v>
      </c>
      <c r="D159" s="17" t="n">
        <v>9</v>
      </c>
      <c r="E159" s="17" t="n">
        <v>174.8</v>
      </c>
      <c r="F159" s="17" t="n">
        <v>140.8</v>
      </c>
      <c r="G159" s="17" t="n">
        <v>9.9</v>
      </c>
      <c r="H159" s="17" t="n">
        <v>325.5</v>
      </c>
      <c r="I159" s="25" t="n">
        <v>0</v>
      </c>
      <c r="J159" s="33" t="inlineStr">
        <is>
          <t>n/n/n</t>
        </is>
      </c>
      <c r="K159" s="17" t="n">
        <v>572.991507</v>
      </c>
      <c r="L159" s="50" t="n">
        <v>0.5680712471712082</v>
      </c>
      <c r="M159" s="17" t="n">
        <v>0</v>
      </c>
      <c r="N159" s="17" t="n">
        <v>0</v>
      </c>
    </row>
    <row r="160">
      <c r="A160" s="18" t="inlineStr">
        <is>
          <t>April</t>
        </is>
      </c>
      <c r="B160" s="17" t="n">
        <v>72</v>
      </c>
      <c r="C160" s="17" t="n">
        <v>136</v>
      </c>
      <c r="D160" s="17" t="n">
        <v>15</v>
      </c>
      <c r="E160" s="17" t="n">
        <v>82.8</v>
      </c>
      <c r="F160" s="17" t="n">
        <v>156.4</v>
      </c>
      <c r="G160" s="17" t="n">
        <v>16.5</v>
      </c>
      <c r="H160" s="17" t="n">
        <v>255.7</v>
      </c>
      <c r="I160" s="25" t="n">
        <v>0</v>
      </c>
      <c r="J160" s="33" t="inlineStr">
        <is>
          <t>n/n/n</t>
        </is>
      </c>
      <c r="K160" s="17" t="n">
        <v>801.1457189999998</v>
      </c>
      <c r="L160" s="50" t="n">
        <v>0.3191679040851245</v>
      </c>
      <c r="M160" s="17" t="n">
        <v>0</v>
      </c>
      <c r="N160" s="17" t="n">
        <v>0</v>
      </c>
    </row>
    <row r="161">
      <c r="A161" s="26" t="inlineStr">
        <is>
          <t>4-Month Total</t>
        </is>
      </c>
      <c r="B161" s="35" t="n"/>
      <c r="C161" s="35" t="n"/>
      <c r="D161" s="35" t="n"/>
      <c r="E161" s="35" t="n"/>
      <c r="F161" s="35" t="n"/>
      <c r="G161" s="35" t="n"/>
      <c r="H161" s="27" t="n">
        <v>1127.8</v>
      </c>
      <c r="I161" s="27" t="n">
        <v>0</v>
      </c>
      <c r="J161" s="35" t="n"/>
      <c r="K161" s="35" t="n"/>
      <c r="L161" s="35" t="n"/>
      <c r="M161" s="27" t="n">
        <v>0</v>
      </c>
      <c r="N161" s="27" t="n">
        <v>0</v>
      </c>
    </row>
    <row r="164" ht="22" customHeight="1">
      <c r="A164" s="5" t="inlineStr">
        <is>
          <t>Monica Valdes</t>
        </is>
      </c>
    </row>
    <row r="165">
      <c r="A165" s="6" t="inlineStr">
        <is>
          <t>Month</t>
        </is>
      </c>
      <c r="B165" s="6" t="inlineStr">
        <is>
          <t>NB Count</t>
        </is>
      </c>
      <c r="C165" s="6" t="inlineStr">
        <is>
          <t>NB Premium</t>
        </is>
      </c>
      <c r="D165" s="6" t="inlineStr">
        <is>
          <t>NB Collected</t>
        </is>
      </c>
      <c r="E165" s="6" t="inlineStr">
        <is>
          <t>NB Coll %</t>
        </is>
      </c>
      <c r="F165" s="6" t="inlineStr">
        <is>
          <t>RWR Count</t>
        </is>
      </c>
      <c r="G165" s="6" t="inlineStr">
        <is>
          <t>RWR Premium</t>
        </is>
      </c>
      <c r="H165" s="6" t="inlineStr">
        <is>
          <t>RWR Collected</t>
        </is>
      </c>
      <c r="I165" s="6" t="inlineStr">
        <is>
          <t>RWR Coll %</t>
        </is>
      </c>
      <c r="J165" s="6" t="inlineStr">
        <is>
          <t>REN Count</t>
        </is>
      </c>
      <c r="K165" s="6" t="inlineStr">
        <is>
          <t>REN Premium</t>
        </is>
      </c>
      <c r="L165" s="6" t="inlineStr">
        <is>
          <t>REN Collected</t>
        </is>
      </c>
      <c r="M165" s="6" t="inlineStr">
        <is>
          <t>REN Coll %</t>
        </is>
      </c>
      <c r="N165" s="6" t="inlineStr">
        <is>
          <t>Avg NB Prem</t>
        </is>
      </c>
      <c r="O165" s="6" t="inlineStr">
        <is>
          <t>Avg REN Prem</t>
        </is>
      </c>
      <c r="P165" s="6" t="inlineStr">
        <is>
          <t>Total Collected</t>
        </is>
      </c>
      <c r="Q165" s="6" t="inlineStr">
        <is>
          <t>Safe Net</t>
        </is>
      </c>
      <c r="R165" s="6" t="inlineStr">
        <is>
          <t>Cap</t>
        </is>
      </c>
    </row>
    <row r="166">
      <c r="A166" s="20" t="inlineStr">
        <is>
          <t>January</t>
        </is>
      </c>
      <c r="B166" s="21" t="n">
        <v>23</v>
      </c>
      <c r="C166" s="22" t="n">
        <v>28605.29</v>
      </c>
      <c r="D166" s="22" t="n">
        <v>6551.7</v>
      </c>
      <c r="E166" s="44" t="n">
        <v>0.2290380555484667</v>
      </c>
      <c r="F166" s="21" t="n">
        <v>19</v>
      </c>
      <c r="G166" s="22" t="n">
        <v>24306.48</v>
      </c>
      <c r="H166" s="22" t="n">
        <v>4101.94</v>
      </c>
      <c r="I166" s="44" t="n">
        <v>0.1687591127962584</v>
      </c>
      <c r="J166" s="21" t="n">
        <v>24</v>
      </c>
      <c r="K166" s="22" t="n">
        <v>30809.39</v>
      </c>
      <c r="L166" s="22" t="n">
        <v>5541.24</v>
      </c>
      <c r="M166" s="44" t="n">
        <v>0.179855557023362</v>
      </c>
      <c r="N166" s="22" t="n">
        <v>1243.708260869565</v>
      </c>
      <c r="O166" s="22" t="n">
        <v>1283.724583333333</v>
      </c>
      <c r="P166" s="22" t="n">
        <v>16194.88</v>
      </c>
      <c r="Q166" s="22" t="n">
        <v>881.8112159999999</v>
      </c>
      <c r="R166" s="22" t="n">
        <v>352.7244864</v>
      </c>
    </row>
    <row r="167">
      <c r="A167" s="20" t="inlineStr">
        <is>
          <t>February</t>
        </is>
      </c>
      <c r="B167" s="21" t="n">
        <v>21</v>
      </c>
      <c r="C167" s="22" t="n">
        <v>31516.95</v>
      </c>
      <c r="D167" s="22" t="n">
        <v>6512.87</v>
      </c>
      <c r="E167" s="44" t="n">
        <v>0.206646582235908</v>
      </c>
      <c r="F167" s="21" t="n">
        <v>15</v>
      </c>
      <c r="G167" s="22" t="n">
        <v>23614.09</v>
      </c>
      <c r="H167" s="22" t="n">
        <v>3577.615</v>
      </c>
      <c r="I167" s="44" t="n">
        <v>0.1515034032647457</v>
      </c>
      <c r="J167" s="21" t="n">
        <v>16</v>
      </c>
      <c r="K167" s="22" t="n">
        <v>26706.09</v>
      </c>
      <c r="L167" s="22" t="n">
        <v>3850.485</v>
      </c>
      <c r="M167" s="44" t="n">
        <v>0.1441800353402538</v>
      </c>
      <c r="N167" s="22" t="n">
        <v>1500.807142857143</v>
      </c>
      <c r="O167" s="22" t="n">
        <v>1669.130625</v>
      </c>
      <c r="P167" s="22" t="n">
        <v>13940.97</v>
      </c>
      <c r="Q167" s="22" t="n">
        <v>759.0858165</v>
      </c>
      <c r="R167" s="22" t="n">
        <v>303.6343266</v>
      </c>
    </row>
    <row r="168">
      <c r="A168" s="20" t="inlineStr">
        <is>
          <t>March</t>
        </is>
      </c>
      <c r="B168" s="21" t="n">
        <v>36</v>
      </c>
      <c r="C168" s="22" t="n">
        <v>68546.22</v>
      </c>
      <c r="D168" s="22" t="n">
        <v>17019.79</v>
      </c>
      <c r="E168" s="44" t="n">
        <v>0.2482965508528406</v>
      </c>
      <c r="F168" s="21" t="n">
        <v>14</v>
      </c>
      <c r="G168" s="22" t="n">
        <v>19627.325</v>
      </c>
      <c r="H168" s="22" t="n">
        <v>2650.265</v>
      </c>
      <c r="I168" s="44" t="n">
        <v>0.135029353210384</v>
      </c>
      <c r="J168" s="21" t="n">
        <v>14</v>
      </c>
      <c r="K168" s="22" t="n">
        <v>19627.325</v>
      </c>
      <c r="L168" s="22" t="n">
        <v>2650.265</v>
      </c>
      <c r="M168" s="44" t="n">
        <v>0.135029353210384</v>
      </c>
      <c r="N168" s="22" t="n">
        <v>1904.061666666667</v>
      </c>
      <c r="O168" s="22" t="n">
        <v>1401.951785714286</v>
      </c>
      <c r="P168" s="22" t="n">
        <v>22320.32</v>
      </c>
      <c r="Q168" s="22" t="n">
        <v>1215.341424</v>
      </c>
      <c r="R168" s="22" t="n">
        <v>486.1365696</v>
      </c>
    </row>
    <row r="169">
      <c r="A169" s="20" t="inlineStr">
        <is>
          <t>April</t>
        </is>
      </c>
      <c r="B169" s="21" t="n">
        <v>22</v>
      </c>
      <c r="C169" s="22" t="n">
        <v>29755.49</v>
      </c>
      <c r="D169" s="22" t="n">
        <v>6197.26</v>
      </c>
      <c r="E169" s="44" t="n">
        <v>0.2082728262918876</v>
      </c>
      <c r="F169" s="21" t="n">
        <v>11</v>
      </c>
      <c r="G169" s="22" t="n">
        <v>17639.95</v>
      </c>
      <c r="H169" s="22" t="n">
        <v>3652.895</v>
      </c>
      <c r="I169" s="44" t="n">
        <v>0.2070808023832267</v>
      </c>
      <c r="J169" s="21" t="n">
        <v>13</v>
      </c>
      <c r="K169" s="22" t="n">
        <v>20153.95</v>
      </c>
      <c r="L169" s="22" t="n">
        <v>3944.015</v>
      </c>
      <c r="M169" s="44" t="n">
        <v>0.1956943924143902</v>
      </c>
      <c r="N169" s="22" t="n">
        <v>1352.522272727273</v>
      </c>
      <c r="O169" s="22" t="n">
        <v>1550.303846153846</v>
      </c>
      <c r="P169" s="22" t="n">
        <v>13794.17</v>
      </c>
      <c r="Q169" s="22" t="n">
        <v>751.0925564999999</v>
      </c>
      <c r="R169" s="22" t="n">
        <v>300.4370226</v>
      </c>
    </row>
    <row r="171">
      <c r="A171" s="45" t="inlineStr">
        <is>
          <t>PROPOSAL A - PREMIUM-BASED</t>
        </is>
      </c>
    </row>
    <row r="172">
      <c r="A172" s="6" t="inlineStr">
        <is>
          <t>Month</t>
        </is>
      </c>
      <c r="B172" s="6" t="inlineStr">
        <is>
          <t>NB Tier</t>
        </is>
      </c>
      <c r="C172" s="6" t="inlineStr">
        <is>
          <t>NB Per-Policy $</t>
        </is>
      </c>
      <c r="D172" s="6" t="inlineStr">
        <is>
          <t>NB Target (w/ kicker)</t>
        </is>
      </c>
      <c r="E172" s="6" t="inlineStr">
        <is>
          <t>REN Tier</t>
        </is>
      </c>
      <c r="F172" s="6" t="inlineStr">
        <is>
          <t>REN Per-Policy $</t>
        </is>
      </c>
      <c r="G172" s="6" t="inlineStr">
        <is>
          <t>REN Target (w/ kicker)</t>
        </is>
      </c>
      <c r="H172" s="6" t="inlineStr">
        <is>
          <t>RWR Target (w/ kicker)</t>
        </is>
      </c>
      <c r="I172" s="6" t="inlineStr">
        <is>
          <t>Total Target (no min)</t>
        </is>
      </c>
      <c r="J172" s="6" t="inlineStr">
        <is>
          <t>PAID after MIN</t>
        </is>
      </c>
      <c r="K172" s="6" t="inlineStr">
        <is>
          <t>Gates (NB/REN/RWR)</t>
        </is>
      </c>
      <c r="L172" s="6" t="inlineStr">
        <is>
          <t>Safe Net</t>
        </is>
      </c>
      <c r="M172" s="6" t="inlineStr">
        <is>
          <t>Bonus % SN</t>
        </is>
      </c>
      <c r="N172" s="6" t="inlineStr">
        <is>
          <t>vs Current</t>
        </is>
      </c>
      <c r="O172" s="6" t="inlineStr">
        <is>
          <t>Current Bonus</t>
        </is>
      </c>
    </row>
    <row r="173">
      <c r="A173" s="12" t="inlineStr">
        <is>
          <t>January</t>
        </is>
      </c>
      <c r="B173" s="12" t="inlineStr">
        <is>
          <t>$1,200-$1,799</t>
        </is>
      </c>
      <c r="C173" s="11" t="n">
        <v>7</v>
      </c>
      <c r="D173" s="11" t="n">
        <v>177.1</v>
      </c>
      <c r="E173" s="12" t="inlineStr">
        <is>
          <t>$1,200-$1,799</t>
        </is>
      </c>
      <c r="F173" s="11" t="n">
        <v>5</v>
      </c>
      <c r="G173" s="11" t="n">
        <v>132</v>
      </c>
      <c r="H173" s="11" t="n">
        <v>41.8</v>
      </c>
      <c r="I173" s="11" t="n">
        <v>350.9</v>
      </c>
      <c r="J173" s="23" t="n">
        <v>0</v>
      </c>
      <c r="K173" s="33" t="inlineStr">
        <is>
          <t>n/n/n</t>
        </is>
      </c>
      <c r="L173" s="11" t="n">
        <v>881.8112159999999</v>
      </c>
      <c r="M173" s="46" t="n">
        <v>0.3979309784601334</v>
      </c>
      <c r="N173" s="11" t="n">
        <v>-350</v>
      </c>
      <c r="O173" s="11" t="n">
        <v>350</v>
      </c>
    </row>
    <row r="174">
      <c r="A174" s="12" t="inlineStr">
        <is>
          <t>February</t>
        </is>
      </c>
      <c r="B174" s="12" t="inlineStr">
        <is>
          <t>$1,200-$1,799</t>
        </is>
      </c>
      <c r="C174" s="11" t="n">
        <v>7</v>
      </c>
      <c r="D174" s="11" t="n">
        <v>161.7</v>
      </c>
      <c r="E174" s="12" t="inlineStr">
        <is>
          <t>$1,200-$1,799</t>
        </is>
      </c>
      <c r="F174" s="11" t="n">
        <v>5</v>
      </c>
      <c r="G174" s="11" t="n">
        <v>80</v>
      </c>
      <c r="H174" s="11" t="n">
        <v>33</v>
      </c>
      <c r="I174" s="11" t="n">
        <v>274.7</v>
      </c>
      <c r="J174" s="23" t="n">
        <v>0</v>
      </c>
      <c r="K174" s="33" t="inlineStr">
        <is>
          <t>n/n/n</t>
        </is>
      </c>
      <c r="L174" s="11" t="n">
        <v>759.0858165</v>
      </c>
      <c r="M174" s="46" t="n">
        <v>0.3618826673202635</v>
      </c>
      <c r="N174" s="11" t="n">
        <v>-350</v>
      </c>
      <c r="O174" s="11" t="n">
        <v>350</v>
      </c>
    </row>
    <row r="175">
      <c r="A175" s="12" t="inlineStr">
        <is>
          <t>March</t>
        </is>
      </c>
      <c r="B175" s="12" t="inlineStr">
        <is>
          <t>$1,800-$2,199</t>
        </is>
      </c>
      <c r="C175" s="11" t="n">
        <v>9</v>
      </c>
      <c r="D175" s="11" t="n">
        <v>356.4</v>
      </c>
      <c r="E175" s="12" t="inlineStr">
        <is>
          <t>$1,200-$1,799</t>
        </is>
      </c>
      <c r="F175" s="11" t="n">
        <v>5</v>
      </c>
      <c r="G175" s="11" t="n">
        <v>70</v>
      </c>
      <c r="H175" s="11" t="n">
        <v>28</v>
      </c>
      <c r="I175" s="11" t="n">
        <v>454.4</v>
      </c>
      <c r="J175" s="23" t="n">
        <v>356.4</v>
      </c>
      <c r="K175" s="51" t="inlineStr">
        <is>
          <t>Y/n/n</t>
        </is>
      </c>
      <c r="L175" s="11" t="n">
        <v>1215.341424</v>
      </c>
      <c r="M175" s="46" t="n">
        <v>0.3738867046137975</v>
      </c>
      <c r="N175" s="11" t="n">
        <v>-93.59999999999997</v>
      </c>
      <c r="O175" s="11" t="n">
        <v>450</v>
      </c>
    </row>
    <row r="176">
      <c r="A176" s="12" t="inlineStr">
        <is>
          <t>April</t>
        </is>
      </c>
      <c r="B176" s="12" t="inlineStr">
        <is>
          <t>$1,200-$1,799</t>
        </is>
      </c>
      <c r="C176" s="11" t="n">
        <v>7</v>
      </c>
      <c r="D176" s="11" t="n">
        <v>169.4</v>
      </c>
      <c r="E176" s="12" t="inlineStr">
        <is>
          <t>$1,200-$1,799</t>
        </is>
      </c>
      <c r="F176" s="11" t="n">
        <v>5</v>
      </c>
      <c r="G176" s="11" t="n">
        <v>71.5</v>
      </c>
      <c r="H176" s="11" t="n">
        <v>24.2</v>
      </c>
      <c r="I176" s="11" t="n">
        <v>265.1</v>
      </c>
      <c r="J176" s="23" t="n">
        <v>0</v>
      </c>
      <c r="K176" s="33" t="inlineStr">
        <is>
          <t>n/n/n</t>
        </is>
      </c>
      <c r="L176" s="11" t="n">
        <v>751.0925564999999</v>
      </c>
      <c r="M176" s="46" t="n">
        <v>0.3529525059272772</v>
      </c>
      <c r="N176" s="11" t="n">
        <v>-250</v>
      </c>
      <c r="O176" s="11" t="n">
        <v>250</v>
      </c>
    </row>
    <row r="177">
      <c r="A177" s="26" t="inlineStr">
        <is>
          <t>4-Month Total</t>
        </is>
      </c>
      <c r="B177" s="35" t="n"/>
      <c r="C177" s="35" t="n"/>
      <c r="D177" s="35" t="n"/>
      <c r="E177" s="35" t="n"/>
      <c r="F177" s="35" t="n"/>
      <c r="G177" s="35" t="n"/>
      <c r="H177" s="35" t="n"/>
      <c r="I177" s="27" t="n">
        <v>1345.1</v>
      </c>
      <c r="J177" s="27" t="n">
        <v>356.4</v>
      </c>
      <c r="K177" s="35" t="n"/>
      <c r="L177" s="35" t="n"/>
      <c r="M177" s="35" t="n"/>
      <c r="N177" s="27" t="n">
        <v>-1043.6</v>
      </c>
      <c r="O177" s="27" t="n">
        <v>1400</v>
      </c>
    </row>
    <row r="179">
      <c r="A179" s="47" t="inlineStr">
        <is>
          <t>PROPOSAL B - COVERAGE-BASED</t>
        </is>
      </c>
    </row>
    <row r="180">
      <c r="A180" s="6" t="inlineStr">
        <is>
          <t>Month</t>
        </is>
      </c>
      <c r="B180" s="6" t="inlineStr">
        <is>
          <t>NB Base ($10 x ct)</t>
        </is>
      </c>
      <c r="C180" s="6" t="inlineStr">
        <is>
          <t>NB Liab Add ($5 x 35%)</t>
        </is>
      </c>
      <c r="D180" s="6" t="inlineStr">
        <is>
          <t>NB Target (w/ kicker)</t>
        </is>
      </c>
      <c r="E180" s="6" t="inlineStr">
        <is>
          <t>REN Base ($6 x ct)</t>
        </is>
      </c>
      <c r="F180" s="6" t="inlineStr">
        <is>
          <t>REN Liab Add ($3 x 30%)</t>
        </is>
      </c>
      <c r="G180" s="6" t="inlineStr">
        <is>
          <t>REN Target (w/ kicker)</t>
        </is>
      </c>
      <c r="H180" s="6" t="inlineStr">
        <is>
          <t>RWR Target (w/ kicker)</t>
        </is>
      </c>
      <c r="I180" s="6" t="inlineStr">
        <is>
          <t>Total Target (no min)</t>
        </is>
      </c>
      <c r="J180" s="6" t="inlineStr">
        <is>
          <t>PAID after MIN</t>
        </is>
      </c>
      <c r="K180" s="6" t="inlineStr">
        <is>
          <t>Gates (NB/REN/RWR)</t>
        </is>
      </c>
      <c r="L180" s="6" t="inlineStr">
        <is>
          <t>Safe Net</t>
        </is>
      </c>
      <c r="M180" s="6" t="inlineStr">
        <is>
          <t>Bonus % SN</t>
        </is>
      </c>
      <c r="N180" s="6" t="inlineStr">
        <is>
          <t>vs Current</t>
        </is>
      </c>
      <c r="O180" s="6" t="inlineStr">
        <is>
          <t>Current Bonus</t>
        </is>
      </c>
    </row>
    <row r="181">
      <c r="A181" s="15" t="inlineStr">
        <is>
          <t>January</t>
        </is>
      </c>
      <c r="B181" s="14" t="n">
        <v>230</v>
      </c>
      <c r="C181" s="14" t="n">
        <v>40.24999999999999</v>
      </c>
      <c r="D181" s="14" t="n">
        <v>297.275</v>
      </c>
      <c r="E181" s="14" t="n">
        <v>144</v>
      </c>
      <c r="F181" s="14" t="n">
        <v>21.6</v>
      </c>
      <c r="G181" s="14" t="n">
        <v>182.16</v>
      </c>
      <c r="H181" s="14" t="n">
        <v>41.8</v>
      </c>
      <c r="I181" s="14" t="n">
        <v>521.235</v>
      </c>
      <c r="J181" s="24" t="n">
        <v>0</v>
      </c>
      <c r="K181" s="33" t="inlineStr">
        <is>
          <t>n/n/n</t>
        </is>
      </c>
      <c r="L181" s="14" t="n">
        <v>881.8112159999999</v>
      </c>
      <c r="M181" s="48" t="n">
        <v>0.5910959064054364</v>
      </c>
      <c r="N181" s="14" t="n">
        <v>-350</v>
      </c>
      <c r="O181" s="14" t="n">
        <v>350</v>
      </c>
    </row>
    <row r="182">
      <c r="A182" s="15" t="inlineStr">
        <is>
          <t>February</t>
        </is>
      </c>
      <c r="B182" s="14" t="n">
        <v>210</v>
      </c>
      <c r="C182" s="14" t="n">
        <v>36.75</v>
      </c>
      <c r="D182" s="14" t="n">
        <v>271.425</v>
      </c>
      <c r="E182" s="14" t="n">
        <v>96</v>
      </c>
      <c r="F182" s="14" t="n">
        <v>14.4</v>
      </c>
      <c r="G182" s="14" t="n">
        <v>110.4</v>
      </c>
      <c r="H182" s="14" t="n">
        <v>33</v>
      </c>
      <c r="I182" s="14" t="n">
        <v>414.825</v>
      </c>
      <c r="J182" s="24" t="n">
        <v>0</v>
      </c>
      <c r="K182" s="33" t="inlineStr">
        <is>
          <t>n/n/n</t>
        </is>
      </c>
      <c r="L182" s="14" t="n">
        <v>759.0858165</v>
      </c>
      <c r="M182" s="48" t="n">
        <v>0.5464797141286067</v>
      </c>
      <c r="N182" s="14" t="n">
        <v>-350</v>
      </c>
      <c r="O182" s="14" t="n">
        <v>350</v>
      </c>
    </row>
    <row r="183">
      <c r="A183" s="15" t="inlineStr">
        <is>
          <t>March</t>
        </is>
      </c>
      <c r="B183" s="14" t="n">
        <v>360</v>
      </c>
      <c r="C183" s="14" t="n">
        <v>63</v>
      </c>
      <c r="D183" s="14" t="n">
        <v>465.3</v>
      </c>
      <c r="E183" s="14" t="n">
        <v>84</v>
      </c>
      <c r="F183" s="14" t="n">
        <v>12.6</v>
      </c>
      <c r="G183" s="14" t="n">
        <v>96.59999999999999</v>
      </c>
      <c r="H183" s="14" t="n">
        <v>28</v>
      </c>
      <c r="I183" s="14" t="n">
        <v>589.9</v>
      </c>
      <c r="J183" s="24" t="n">
        <v>465.3</v>
      </c>
      <c r="K183" s="51" t="inlineStr">
        <is>
          <t>Y/n/n</t>
        </is>
      </c>
      <c r="L183" s="14" t="n">
        <v>1215.341424</v>
      </c>
      <c r="M183" s="48" t="n">
        <v>0.4853780084764066</v>
      </c>
      <c r="N183" s="14" t="n">
        <v>15.30000000000001</v>
      </c>
      <c r="O183" s="14" t="n">
        <v>450</v>
      </c>
    </row>
    <row r="184">
      <c r="A184" s="15" t="inlineStr">
        <is>
          <t>April</t>
        </is>
      </c>
      <c r="B184" s="14" t="n">
        <v>220</v>
      </c>
      <c r="C184" s="14" t="n">
        <v>38.5</v>
      </c>
      <c r="D184" s="14" t="n">
        <v>284.35</v>
      </c>
      <c r="E184" s="14" t="n">
        <v>78</v>
      </c>
      <c r="F184" s="14" t="n">
        <v>11.7</v>
      </c>
      <c r="G184" s="14" t="n">
        <v>98.67000000000002</v>
      </c>
      <c r="H184" s="14" t="n">
        <v>24.2</v>
      </c>
      <c r="I184" s="14" t="n">
        <v>407.22</v>
      </c>
      <c r="J184" s="24" t="n">
        <v>0</v>
      </c>
      <c r="K184" s="33" t="inlineStr">
        <is>
          <t>n/n/n</t>
        </is>
      </c>
      <c r="L184" s="14" t="n">
        <v>751.0925564999999</v>
      </c>
      <c r="M184" s="48" t="n">
        <v>0.5421701979015686</v>
      </c>
      <c r="N184" s="14" t="n">
        <v>-250</v>
      </c>
      <c r="O184" s="14" t="n">
        <v>250</v>
      </c>
    </row>
    <row r="185">
      <c r="A185" s="26" t="inlineStr">
        <is>
          <t>4-Month Total</t>
        </is>
      </c>
      <c r="B185" s="35" t="n"/>
      <c r="C185" s="35" t="n"/>
      <c r="D185" s="35" t="n"/>
      <c r="E185" s="35" t="n"/>
      <c r="F185" s="35" t="n"/>
      <c r="G185" s="35" t="n"/>
      <c r="H185" s="35" t="n"/>
      <c r="I185" s="27" t="n">
        <v>1933.18</v>
      </c>
      <c r="J185" s="27" t="n">
        <v>465.3</v>
      </c>
      <c r="K185" s="35" t="n"/>
      <c r="L185" s="35" t="n"/>
      <c r="M185" s="35" t="n"/>
      <c r="N185" s="27" t="n">
        <v>-934.7</v>
      </c>
      <c r="O185" s="27" t="n">
        <v>1400</v>
      </c>
    </row>
    <row r="187">
      <c r="A187" s="49" t="inlineStr">
        <is>
          <t>PROPOSAL C - PERSISTENCY (BONUS IDEA)</t>
        </is>
      </c>
    </row>
    <row r="188">
      <c r="A188" s="6" t="inlineStr">
        <is>
          <t>Month</t>
        </is>
      </c>
      <c r="B188" s="6" t="inlineStr">
        <is>
          <t>NB ($8 x ct)</t>
        </is>
      </c>
      <c r="C188" s="6" t="inlineStr">
        <is>
          <t>REN ($8 x ct)</t>
        </is>
      </c>
      <c r="D188" s="6" t="inlineStr">
        <is>
          <t>RWR ($1 x ct)</t>
        </is>
      </c>
      <c r="E188" s="6" t="inlineStr">
        <is>
          <t>NB Target</t>
        </is>
      </c>
      <c r="F188" s="6" t="inlineStr">
        <is>
          <t>REN Target</t>
        </is>
      </c>
      <c r="G188" s="6" t="inlineStr">
        <is>
          <t>RWR Target</t>
        </is>
      </c>
      <c r="H188" s="6" t="inlineStr">
        <is>
          <t>Total Target (no min)</t>
        </is>
      </c>
      <c r="I188" s="6" t="inlineStr">
        <is>
          <t>PAID after MIN</t>
        </is>
      </c>
      <c r="J188" s="6" t="inlineStr">
        <is>
          <t>Gates (NB/REN/RWR)</t>
        </is>
      </c>
      <c r="K188" s="6" t="inlineStr">
        <is>
          <t>Safe Net</t>
        </is>
      </c>
      <c r="L188" s="6" t="inlineStr">
        <is>
          <t>Bonus % SN</t>
        </is>
      </c>
      <c r="M188" s="6" t="inlineStr">
        <is>
          <t>vs Current</t>
        </is>
      </c>
      <c r="N188" s="6" t="inlineStr">
        <is>
          <t>Current Bonus</t>
        </is>
      </c>
    </row>
    <row r="189">
      <c r="A189" s="18" t="inlineStr">
        <is>
          <t>January</t>
        </is>
      </c>
      <c r="B189" s="17" t="n">
        <v>184</v>
      </c>
      <c r="C189" s="17" t="n">
        <v>192</v>
      </c>
      <c r="D189" s="17" t="n">
        <v>19</v>
      </c>
      <c r="E189" s="17" t="n">
        <v>202.4</v>
      </c>
      <c r="F189" s="17" t="n">
        <v>211.2</v>
      </c>
      <c r="G189" s="17" t="n">
        <v>20.9</v>
      </c>
      <c r="H189" s="17" t="n">
        <v>434.5</v>
      </c>
      <c r="I189" s="25" t="n">
        <v>0</v>
      </c>
      <c r="J189" s="33" t="inlineStr">
        <is>
          <t>n/n/n</t>
        </is>
      </c>
      <c r="K189" s="17" t="n">
        <v>881.8112159999999</v>
      </c>
      <c r="L189" s="50" t="n">
        <v>0.492735851071325</v>
      </c>
      <c r="M189" s="17" t="n">
        <v>-350</v>
      </c>
      <c r="N189" s="17" t="n">
        <v>350</v>
      </c>
    </row>
    <row r="190">
      <c r="A190" s="18" t="inlineStr">
        <is>
          <t>February</t>
        </is>
      </c>
      <c r="B190" s="17" t="n">
        <v>168</v>
      </c>
      <c r="C190" s="17" t="n">
        <v>128</v>
      </c>
      <c r="D190" s="17" t="n">
        <v>15</v>
      </c>
      <c r="E190" s="17" t="n">
        <v>184.8</v>
      </c>
      <c r="F190" s="17" t="n">
        <v>128</v>
      </c>
      <c r="G190" s="17" t="n">
        <v>16.5</v>
      </c>
      <c r="H190" s="17" t="n">
        <v>329.3</v>
      </c>
      <c r="I190" s="25" t="n">
        <v>0</v>
      </c>
      <c r="J190" s="33" t="inlineStr">
        <is>
          <t>n/n/n</t>
        </is>
      </c>
      <c r="K190" s="17" t="n">
        <v>759.0858165</v>
      </c>
      <c r="L190" s="50" t="n">
        <v>0.4338112935877785</v>
      </c>
      <c r="M190" s="17" t="n">
        <v>-350</v>
      </c>
      <c r="N190" s="17" t="n">
        <v>350</v>
      </c>
    </row>
    <row r="191">
      <c r="A191" s="18" t="inlineStr">
        <is>
          <t>March</t>
        </is>
      </c>
      <c r="B191" s="17" t="n">
        <v>288</v>
      </c>
      <c r="C191" s="17" t="n">
        <v>112</v>
      </c>
      <c r="D191" s="17" t="n">
        <v>14</v>
      </c>
      <c r="E191" s="17" t="n">
        <v>316.8</v>
      </c>
      <c r="F191" s="17" t="n">
        <v>112</v>
      </c>
      <c r="G191" s="17" t="n">
        <v>14</v>
      </c>
      <c r="H191" s="17" t="n">
        <v>442.8</v>
      </c>
      <c r="I191" s="25" t="n">
        <v>316.8</v>
      </c>
      <c r="J191" s="51" t="inlineStr">
        <is>
          <t>Y/n/n</t>
        </is>
      </c>
      <c r="K191" s="17" t="n">
        <v>1215.341424</v>
      </c>
      <c r="L191" s="50" t="n">
        <v>0.3643420616262974</v>
      </c>
      <c r="M191" s="17" t="n">
        <v>-133.2</v>
      </c>
      <c r="N191" s="17" t="n">
        <v>450</v>
      </c>
    </row>
    <row r="192">
      <c r="A192" s="18" t="inlineStr">
        <is>
          <t>April</t>
        </is>
      </c>
      <c r="B192" s="17" t="n">
        <v>176</v>
      </c>
      <c r="C192" s="17" t="n">
        <v>104</v>
      </c>
      <c r="D192" s="17" t="n">
        <v>11</v>
      </c>
      <c r="E192" s="17" t="n">
        <v>193.6</v>
      </c>
      <c r="F192" s="17" t="n">
        <v>114.4</v>
      </c>
      <c r="G192" s="17" t="n">
        <v>12.1</v>
      </c>
      <c r="H192" s="17" t="n">
        <v>320.1</v>
      </c>
      <c r="I192" s="25" t="n">
        <v>0</v>
      </c>
      <c r="J192" s="33" t="inlineStr">
        <is>
          <t>n/n/n</t>
        </is>
      </c>
      <c r="K192" s="17" t="n">
        <v>751.0925564999999</v>
      </c>
      <c r="L192" s="50" t="n">
        <v>0.4261791669080401</v>
      </c>
      <c r="M192" s="17" t="n">
        <v>-250</v>
      </c>
      <c r="N192" s="17" t="n">
        <v>250</v>
      </c>
    </row>
    <row r="193">
      <c r="A193" s="26" t="inlineStr">
        <is>
          <t>4-Month Total</t>
        </is>
      </c>
      <c r="B193" s="35" t="n"/>
      <c r="C193" s="35" t="n"/>
      <c r="D193" s="35" t="n"/>
      <c r="E193" s="35" t="n"/>
      <c r="F193" s="35" t="n"/>
      <c r="G193" s="35" t="n"/>
      <c r="H193" s="27" t="n">
        <v>1526.7</v>
      </c>
      <c r="I193" s="27" t="n">
        <v>316.8</v>
      </c>
      <c r="J193" s="35" t="n"/>
      <c r="K193" s="35" t="n"/>
      <c r="L193" s="35" t="n"/>
      <c r="M193" s="27" t="n">
        <v>-1083.2</v>
      </c>
      <c r="N193" s="27" t="n">
        <v>1400</v>
      </c>
    </row>
  </sheetData>
  <mergeCells count="26">
    <mergeCell ref="A187:R187"/>
    <mergeCell ref="A164:R164"/>
    <mergeCell ref="A75:R75"/>
    <mergeCell ref="A27:R27"/>
    <mergeCell ref="A139:R139"/>
    <mergeCell ref="A179:R179"/>
    <mergeCell ref="A2:R2"/>
    <mergeCell ref="A91:R91"/>
    <mergeCell ref="A4:R4"/>
    <mergeCell ref="A100:R100"/>
    <mergeCell ref="A171:R171"/>
    <mergeCell ref="A147:R147"/>
    <mergeCell ref="A43:R43"/>
    <mergeCell ref="A19:R19"/>
    <mergeCell ref="A115:R115"/>
    <mergeCell ref="A155:R155"/>
    <mergeCell ref="A68:R68"/>
    <mergeCell ref="A83:R83"/>
    <mergeCell ref="A59:R59"/>
    <mergeCell ref="A11:R11"/>
    <mergeCell ref="A51:R51"/>
    <mergeCell ref="A107:R107"/>
    <mergeCell ref="A36:R36"/>
    <mergeCell ref="A123:R123"/>
    <mergeCell ref="A1:R1"/>
    <mergeCell ref="A132:R13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8"/>
  <sheetViews>
    <sheetView workbookViewId="0">
      <selection activeCell="A1" sqref="A1"/>
    </sheetView>
  </sheetViews>
  <sheetFormatPr baseColWidth="8" defaultRowHeight="15"/>
  <cols>
    <col width="25"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4" customWidth="1" min="12" max="12"/>
    <col width="14" customWidth="1" min="13" max="13"/>
  </cols>
  <sheetData>
    <row r="1">
      <c r="A1" s="1" t="inlineStr">
        <is>
          <t>Real vs 50%-Swap Comparison (4-month totals per agent)</t>
        </is>
      </c>
    </row>
    <row r="2">
      <c r="A2" s="4" t="inlineStr">
        <is>
          <t>Same agents, same months. NO-MIN columns show target pay. WITH-MIN columns apply the $50,000/50,000 gates. The renewal-shift upside is the main message: today the current plan punishes the swap; the new plans reward it.</t>
        </is>
      </c>
    </row>
    <row r="4">
      <c r="A4" s="6" t="inlineStr">
        <is>
          <t>Agent</t>
        </is>
      </c>
      <c r="B4" s="6" t="inlineStr">
        <is>
          <t>Current (Real)</t>
        </is>
      </c>
      <c r="C4" s="6" t="inlineStr">
        <is>
          <t>Current (Swap)</t>
        </is>
      </c>
      <c r="D4" s="6" t="inlineStr">
        <is>
          <t>A no-min (Real)</t>
        </is>
      </c>
      <c r="E4" s="6" t="inlineStr">
        <is>
          <t>A no-min (Swap)</t>
        </is>
      </c>
      <c r="F4" s="6" t="inlineStr">
        <is>
          <t>A WITH MIN (Real)</t>
        </is>
      </c>
      <c r="G4" s="6" t="inlineStr">
        <is>
          <t>A WITH MIN (Swap)</t>
        </is>
      </c>
      <c r="H4" s="6" t="inlineStr">
        <is>
          <t>B WITH MIN (Real)</t>
        </is>
      </c>
      <c r="I4" s="6" t="inlineStr">
        <is>
          <t>B WITH MIN (Swap)</t>
        </is>
      </c>
      <c r="J4" s="6" t="inlineStr">
        <is>
          <t>C WITH MIN (Real)</t>
        </is>
      </c>
      <c r="K4" s="6" t="inlineStr">
        <is>
          <t>C WITH MIN (Swap)</t>
        </is>
      </c>
      <c r="L4" s="6" t="inlineStr">
        <is>
          <t>A-min Swap-Real</t>
        </is>
      </c>
      <c r="M4" s="6" t="inlineStr">
        <is>
          <t>B-min Swap-Real</t>
        </is>
      </c>
    </row>
    <row r="5">
      <c r="A5" s="20" t="inlineStr">
        <is>
          <t>Abel Guaina</t>
        </is>
      </c>
      <c r="B5" s="22" t="n">
        <v>1300</v>
      </c>
      <c r="C5" s="22" t="n">
        <v>850</v>
      </c>
      <c r="D5" s="22" t="n">
        <v>1010.4</v>
      </c>
      <c r="E5" s="22" t="n">
        <v>1141.95</v>
      </c>
      <c r="F5" s="11" t="n">
        <v>0</v>
      </c>
      <c r="G5" s="11" t="n">
        <v>0</v>
      </c>
      <c r="H5" s="14" t="n">
        <v>0</v>
      </c>
      <c r="I5" s="14" t="n">
        <v>0</v>
      </c>
      <c r="J5" s="17" t="n">
        <v>0</v>
      </c>
      <c r="K5" s="17" t="n">
        <v>0</v>
      </c>
      <c r="L5" s="22" t="n">
        <v>0</v>
      </c>
      <c r="M5" s="22" t="n">
        <v>0</v>
      </c>
    </row>
    <row r="6">
      <c r="A6" s="20" t="inlineStr">
        <is>
          <t>Dialinerys Dieguez</t>
        </is>
      </c>
      <c r="B6" s="22" t="n">
        <v>3140</v>
      </c>
      <c r="C6" s="22" t="n">
        <v>1990</v>
      </c>
      <c r="D6" s="22" t="n">
        <v>1513.5</v>
      </c>
      <c r="E6" s="22" t="n">
        <v>1906.7</v>
      </c>
      <c r="F6" s="11" t="n">
        <v>292.6</v>
      </c>
      <c r="G6" s="11" t="n">
        <v>957</v>
      </c>
      <c r="H6" s="14" t="n">
        <v>491.15</v>
      </c>
      <c r="I6" s="14" t="n">
        <v>1342.33</v>
      </c>
      <c r="J6" s="17" t="n">
        <v>334.4</v>
      </c>
      <c r="K6" s="17" t="n">
        <v>1270.5</v>
      </c>
      <c r="L6" s="22" t="n">
        <v>664.4</v>
      </c>
      <c r="M6" s="22" t="n">
        <v>851.1800000000001</v>
      </c>
    </row>
    <row r="7">
      <c r="A7" s="20" t="inlineStr">
        <is>
          <t>Melissa Hernandez</t>
        </is>
      </c>
      <c r="B7" s="22" t="n">
        <v>2370</v>
      </c>
      <c r="C7" s="22" t="n">
        <v>1470</v>
      </c>
      <c r="D7" s="22" t="n">
        <v>931.75</v>
      </c>
      <c r="E7" s="22" t="n">
        <v>1178.15</v>
      </c>
      <c r="F7" s="11" t="n">
        <v>0</v>
      </c>
      <c r="G7" s="11" t="n">
        <v>0</v>
      </c>
      <c r="H7" s="14" t="n">
        <v>0</v>
      </c>
      <c r="I7" s="14" t="n">
        <v>0</v>
      </c>
      <c r="J7" s="17" t="n">
        <v>0</v>
      </c>
      <c r="K7" s="17" t="n">
        <v>0</v>
      </c>
      <c r="L7" s="22" t="n">
        <v>0</v>
      </c>
      <c r="M7" s="22" t="n">
        <v>0</v>
      </c>
    </row>
    <row r="8">
      <c r="A8" s="20" t="inlineStr">
        <is>
          <t>Flavia Parra</t>
        </is>
      </c>
      <c r="B8" s="22" t="n">
        <v>2070</v>
      </c>
      <c r="C8" s="22" t="n">
        <v>1400</v>
      </c>
      <c r="D8" s="22" t="n">
        <v>931.45</v>
      </c>
      <c r="E8" s="22" t="n">
        <v>1087.25</v>
      </c>
      <c r="F8" s="11" t="n">
        <v>0</v>
      </c>
      <c r="G8" s="11" t="n">
        <v>0</v>
      </c>
      <c r="H8" s="14" t="n">
        <v>0</v>
      </c>
      <c r="I8" s="14" t="n">
        <v>0</v>
      </c>
      <c r="J8" s="17" t="n">
        <v>0</v>
      </c>
      <c r="K8" s="17" t="n">
        <v>0</v>
      </c>
      <c r="L8" s="22" t="n">
        <v>0</v>
      </c>
      <c r="M8" s="22" t="n">
        <v>0</v>
      </c>
    </row>
    <row r="9">
      <c r="A9" s="20" t="inlineStr">
        <is>
          <t>Thalia Rojas</t>
        </is>
      </c>
      <c r="B9" s="22" t="n">
        <v>1400</v>
      </c>
      <c r="C9" s="22" t="n">
        <v>0</v>
      </c>
      <c r="D9" s="22" t="n">
        <v>671.45</v>
      </c>
      <c r="E9" s="22" t="n">
        <v>814.6000000000001</v>
      </c>
      <c r="F9" s="11" t="n">
        <v>0</v>
      </c>
      <c r="G9" s="11" t="n">
        <v>0</v>
      </c>
      <c r="H9" s="14" t="n">
        <v>0</v>
      </c>
      <c r="I9" s="14" t="n">
        <v>0</v>
      </c>
      <c r="J9" s="17" t="n">
        <v>0</v>
      </c>
      <c r="K9" s="17" t="n">
        <v>0</v>
      </c>
      <c r="L9" s="22" t="n">
        <v>0</v>
      </c>
      <c r="M9" s="22" t="n">
        <v>0</v>
      </c>
    </row>
    <row r="10">
      <c r="A10" s="20" t="inlineStr">
        <is>
          <t>Monica Valdes</t>
        </is>
      </c>
      <c r="B10" s="22" t="n">
        <v>1940</v>
      </c>
      <c r="C10" s="22" t="n">
        <v>1400</v>
      </c>
      <c r="D10" s="22" t="n">
        <v>1160.6</v>
      </c>
      <c r="E10" s="22" t="n">
        <v>1345.1</v>
      </c>
      <c r="F10" s="11" t="n">
        <v>356.4</v>
      </c>
      <c r="G10" s="11" t="n">
        <v>356.4</v>
      </c>
      <c r="H10" s="14" t="n">
        <v>465.3</v>
      </c>
      <c r="I10" s="14" t="n">
        <v>465.3</v>
      </c>
      <c r="J10" s="17" t="n">
        <v>316.8</v>
      </c>
      <c r="K10" s="17" t="n">
        <v>316.8</v>
      </c>
      <c r="L10" s="22" t="n">
        <v>0</v>
      </c>
      <c r="M10" s="22" t="n">
        <v>0</v>
      </c>
    </row>
    <row r="11">
      <c r="A11" s="53" t="inlineStr">
        <is>
          <t>GRAND TOTAL (6 agents, 4 months)</t>
        </is>
      </c>
      <c r="B11" s="27" t="n">
        <v>12220</v>
      </c>
      <c r="C11" s="27" t="n">
        <v>7110</v>
      </c>
      <c r="D11" s="27" t="n">
        <v>6219.150000000001</v>
      </c>
      <c r="E11" s="27" t="n">
        <v>7473.75</v>
      </c>
      <c r="F11" s="27" t="n">
        <v>649</v>
      </c>
      <c r="G11" s="27" t="n">
        <v>1313.4</v>
      </c>
      <c r="H11" s="27" t="n">
        <v>956.45</v>
      </c>
      <c r="I11" s="27" t="n">
        <v>1807.63</v>
      </c>
      <c r="J11" s="27" t="n">
        <v>651.2</v>
      </c>
      <c r="K11" s="27" t="n">
        <v>1587.3</v>
      </c>
      <c r="L11" s="27" t="n">
        <v>664.4000000000001</v>
      </c>
      <c r="M11" s="27" t="n">
        <v>851.1800000000001</v>
      </c>
    </row>
    <row r="13">
      <c r="A13" s="5" t="inlineStr">
        <is>
          <t>What this shows</t>
        </is>
      </c>
    </row>
    <row r="14" ht="30" customHeight="1">
      <c r="A14" s="31" t="inlineStr">
        <is>
          <t>"Real" columns are todays numbers. "Swap" columns are what each agent would earn if 50% of their rewrites became renewals (same dollars, just reclassified).</t>
        </is>
      </c>
    </row>
    <row r="15" ht="30" customHeight="1">
      <c r="A15" s="31" t="inlineStr">
        <is>
          <t>Under the CURRENT plan, the Swap actually DROPS pay - because the current plan rewards rewrites in the count tier. Broken incentive.</t>
        </is>
      </c>
    </row>
    <row r="16" ht="30" customHeight="1">
      <c r="A16" s="31" t="inlineStr">
        <is>
          <t>Under Proposals A, B, C no-min, the Swap INCREASES pay - the behavior change ownership wants is rewarded.</t>
        </is>
      </c>
    </row>
    <row r="17" ht="30" customHeight="1">
      <c r="A17" s="31" t="inlineStr">
        <is>
          <t>Under WITH-MIN, the Swap also increases pay (more agents clear the REN gate). Tighter and harder, but the direction is right.</t>
        </is>
      </c>
    </row>
    <row r="18" ht="30" customHeight="1">
      <c r="A18" s="31" t="inlineStr">
        <is>
          <t>Use this tab to defend the rollout: "Here is the dollar reward each agent gets for stopping the rewrite habit."</t>
        </is>
      </c>
    </row>
  </sheetData>
  <mergeCells count="8">
    <mergeCell ref="A13:M13"/>
    <mergeCell ref="A14:M14"/>
    <mergeCell ref="A1:M1"/>
    <mergeCell ref="A17:M17"/>
    <mergeCell ref="A18:M18"/>
    <mergeCell ref="A15:M15"/>
    <mergeCell ref="A16:M16"/>
    <mergeCell ref="A2:M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22" customWidth="1" min="4" max="4"/>
    <col width="50" customWidth="1" min="5" max="5"/>
  </cols>
  <sheetData>
    <row r="1">
      <c r="A1" s="1" t="inlineStr">
        <is>
          <t>Coverage Bundle Logic (Proposal B)</t>
        </is>
      </c>
    </row>
    <row r="2">
      <c r="A2" s="29" t="inlineStr">
        <is>
          <t>Why BI and UM are paid as ONE $5 bundle on Proposal B.</t>
        </is>
      </c>
    </row>
    <row r="4">
      <c r="A4" s="6" t="inlineStr">
        <is>
          <t>Scenario</t>
        </is>
      </c>
      <c r="B4" s="6" t="inlineStr">
        <is>
          <t>BI Present?</t>
        </is>
      </c>
      <c r="C4" s="6" t="inlineStr">
        <is>
          <t>UM Present?</t>
        </is>
      </c>
      <c r="D4" s="6" t="inlineStr">
        <is>
          <t>Liability Add Paid?</t>
        </is>
      </c>
      <c r="E4" s="6" t="inlineStr">
        <is>
          <t>Why</t>
        </is>
      </c>
    </row>
    <row r="5" ht="28" customHeight="1">
      <c r="A5" s="20" t="inlineStr">
        <is>
          <t>Full liability (the goal)</t>
        </is>
      </c>
      <c r="B5" s="20" t="inlineStr">
        <is>
          <t>YES</t>
        </is>
      </c>
      <c r="C5" s="20" t="inlineStr">
        <is>
          <t>YES</t>
        </is>
      </c>
      <c r="D5" s="20" t="inlineStr">
        <is>
          <t>+$5 NB / +$3 REN</t>
        </is>
      </c>
      <c r="E5" s="20" t="inlineStr">
        <is>
          <t>Customer is properly covered. Agent gets the bundle pay.</t>
        </is>
      </c>
    </row>
    <row r="6" ht="28" customHeight="1">
      <c r="A6" s="15" t="inlineStr">
        <is>
          <t>BI alone (partial coverage)</t>
        </is>
      </c>
      <c r="B6" s="15" t="inlineStr">
        <is>
          <t>YES</t>
        </is>
      </c>
      <c r="C6" s="15" t="inlineStr">
        <is>
          <t>NO</t>
        </is>
      </c>
      <c r="D6" s="15" t="inlineStr">
        <is>
          <t>NO add - base only</t>
        </is>
      </c>
      <c r="E6" s="15" t="inlineStr">
        <is>
          <t>Customer is exposed if the at-fault driver has no insurance. Bundle is the standard sell - we will not pay half of it.</t>
        </is>
      </c>
    </row>
    <row r="7" ht="28" customHeight="1">
      <c r="A7" s="20" t="inlineStr">
        <is>
          <t>UM alone (not possible)</t>
        </is>
      </c>
      <c r="B7" s="20" t="inlineStr">
        <is>
          <t>NO</t>
        </is>
      </c>
      <c r="C7" s="20" t="inlineStr">
        <is>
          <t>YES</t>
        </is>
      </c>
      <c r="D7" s="20" t="inlineStr">
        <is>
          <t>N/A</t>
        </is>
      </c>
      <c r="E7" s="20" t="inlineStr">
        <is>
          <t>Florida (and most carriers) require BI to be on the policy before UM can be issued. The bundle exists for this reason.</t>
        </is>
      </c>
    </row>
    <row r="8" ht="28" customHeight="1">
      <c r="A8" s="15" t="inlineStr">
        <is>
          <t>Neither</t>
        </is>
      </c>
      <c r="B8" s="15" t="inlineStr">
        <is>
          <t>NO</t>
        </is>
      </c>
      <c r="C8" s="15" t="inlineStr">
        <is>
          <t>NO</t>
        </is>
      </c>
      <c r="D8" s="15" t="inlineStr">
        <is>
          <t>NO add</t>
        </is>
      </c>
      <c r="E8" s="15" t="inlineStr">
        <is>
          <t>Base $10 NB / $6 REN only.</t>
        </is>
      </c>
    </row>
    <row r="11">
      <c r="A11" s="5" t="inlineStr">
        <is>
          <t>What about Comp/Collision?</t>
        </is>
      </c>
    </row>
    <row r="12" ht="32" customHeight="1">
      <c r="A12" s="31" t="inlineStr">
        <is>
          <t>Comp/Collision is included in the BASE $10 NB pay. PIP/PD alone, OR PIP+PD+Comp+Coll, both qualify for the base.</t>
        </is>
      </c>
    </row>
    <row r="13" ht="32" customHeight="1">
      <c r="A13" s="31" t="inlineStr">
        <is>
          <t>This means an agent who sells full coverage gets the $10 base, the same as someone who sells FL minimum. The DIFFERENTIATION comes from BI+UM (the liability bundle).</t>
        </is>
      </c>
    </row>
    <row r="14" ht="32" customHeight="1">
      <c r="A14" s="31" t="inlineStr">
        <is>
          <t>Rationale: in Florida, comp/coll is often required by lienholders, so paying extra for it is rewarding what the carrier/lender already mandates. Liability (BI+UM) is the agent's real upsell job - that is what earns the +$5.</t>
        </is>
      </c>
    </row>
  </sheetData>
  <mergeCells count="6">
    <mergeCell ref="A12:E12"/>
    <mergeCell ref="A2:E2"/>
    <mergeCell ref="A11:E11"/>
    <mergeCell ref="A1:E1"/>
    <mergeCell ref="A13:E13"/>
    <mergeCell ref="A14:E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min="1" max="1"/>
    <col width="18" customWidth="1" min="2" max="2"/>
    <col width="38" customWidth="1" min="3" max="3"/>
    <col width="18" customWidth="1" min="4" max="4"/>
    <col width="22" customWidth="1" min="5" max="5"/>
  </cols>
  <sheetData>
    <row r="1">
      <c r="A1" s="1" t="inlineStr">
        <is>
          <t>Collected % Kicker (applies to BOTH proposals)</t>
        </is>
      </c>
    </row>
    <row r="2">
      <c r="A2" s="29" t="inlineStr">
        <is>
          <t>The kicker is applied to the per-policy target BEFORE the safe-net cap. It rewards collecting cash, not just writing premium.</t>
        </is>
      </c>
    </row>
    <row r="4">
      <c r="A4" s="6" t="inlineStr">
        <is>
          <t>Collected % of Premium</t>
        </is>
      </c>
      <c r="B4" s="6" t="inlineStr">
        <is>
          <t>Multiplier</t>
        </is>
      </c>
      <c r="C4" s="6" t="inlineStr">
        <is>
          <t>Plain English</t>
        </is>
      </c>
      <c r="D4" s="6" t="inlineStr">
        <is>
          <t>Example: $10 target</t>
        </is>
      </c>
      <c r="E4" s="6" t="inlineStr">
        <is>
          <t>Example after Kicker</t>
        </is>
      </c>
    </row>
    <row r="5">
      <c r="A5" s="20" t="inlineStr">
        <is>
          <t>Below 15%</t>
        </is>
      </c>
      <c r="B5" s="20" t="inlineStr">
        <is>
          <t>x 1.00 (none)</t>
        </is>
      </c>
      <c r="C5" s="20" t="inlineStr">
        <is>
          <t>Premium barely collected. No kicker.</t>
        </is>
      </c>
      <c r="D5" s="20" t="inlineStr">
        <is>
          <t>$10</t>
        </is>
      </c>
      <c r="E5" s="20" t="inlineStr">
        <is>
          <t>$10.00</t>
        </is>
      </c>
    </row>
    <row r="6">
      <c r="A6" s="30" t="inlineStr">
        <is>
          <t>15% - 24%</t>
        </is>
      </c>
      <c r="B6" s="30" t="inlineStr">
        <is>
          <t>x 1.10 (+10%)</t>
        </is>
      </c>
      <c r="C6" s="30" t="inlineStr">
        <is>
          <t>Minimum down. Small kicker.</t>
        </is>
      </c>
      <c r="D6" s="30" t="inlineStr">
        <is>
          <t>$10</t>
        </is>
      </c>
      <c r="E6" s="30" t="inlineStr">
        <is>
          <t>$11.00</t>
        </is>
      </c>
    </row>
    <row r="7">
      <c r="A7" s="20" t="inlineStr">
        <is>
          <t>25% - 49%</t>
        </is>
      </c>
      <c r="B7" s="20" t="inlineStr">
        <is>
          <t>x 1.15 (+15%)</t>
        </is>
      </c>
      <c r="C7" s="20" t="inlineStr">
        <is>
          <t>Standard down. Standard kicker.</t>
        </is>
      </c>
      <c r="D7" s="20" t="inlineStr">
        <is>
          <t>$10</t>
        </is>
      </c>
      <c r="E7" s="20" t="inlineStr">
        <is>
          <t>$11.50</t>
        </is>
      </c>
    </row>
    <row r="8">
      <c r="A8" s="30" t="inlineStr">
        <is>
          <t>50% - 99%</t>
        </is>
      </c>
      <c r="B8" s="30" t="inlineStr">
        <is>
          <t>x 1.20 (+20%)</t>
        </is>
      </c>
      <c r="C8" s="30" t="inlineStr">
        <is>
          <t>High collection. Stronger kicker.</t>
        </is>
      </c>
      <c r="D8" s="30" t="inlineStr">
        <is>
          <t>$10</t>
        </is>
      </c>
      <c r="E8" s="30" t="inlineStr">
        <is>
          <t>$12.00</t>
        </is>
      </c>
    </row>
    <row r="9">
      <c r="A9" s="20" t="inlineStr">
        <is>
          <t>100% (PIF)</t>
        </is>
      </c>
      <c r="B9" s="20" t="inlineStr">
        <is>
          <t>x 1.25 (+25%)</t>
        </is>
      </c>
      <c r="C9" s="20" t="inlineStr">
        <is>
          <t>Paid in full. Top kicker.</t>
        </is>
      </c>
      <c r="D9" s="20" t="inlineStr">
        <is>
          <t>$10</t>
        </is>
      </c>
      <c r="E9" s="20" t="inlineStr">
        <is>
          <t>$12.50</t>
        </is>
      </c>
    </row>
    <row r="12">
      <c r="A12" s="5" t="inlineStr">
        <is>
          <t>Why use the collected % instead of the written premium</t>
        </is>
      </c>
    </row>
    <row r="13" ht="30" customHeight="1">
      <c r="A13" s="31" t="inlineStr">
        <is>
          <t>Written premium is the carrier number. Collected premium is the agency number - it is the cash that actually pays commission, rent, and payroll.</t>
        </is>
      </c>
    </row>
    <row r="14" ht="30" customHeight="1">
      <c r="A14" s="31" t="inlineStr">
        <is>
          <t>Without the kicker, a policy with a $50 down looks the same as one with a $500 down. With the kicker, the agent who pushes for a bigger down earns more.</t>
        </is>
      </c>
    </row>
    <row r="15" ht="30" customHeight="1">
      <c r="A15" s="31" t="inlineStr">
        <is>
          <t>The kicker is INSIDE the cap. The cap is still 15% of safe net. So a high kicker on a low-collected policy cannot break ownership economics.</t>
        </is>
      </c>
    </row>
  </sheetData>
  <mergeCells count="6">
    <mergeCell ref="A12:E12"/>
    <mergeCell ref="A2:E2"/>
    <mergeCell ref="A15:E15"/>
    <mergeCell ref="A1:E1"/>
    <mergeCell ref="A13:E13"/>
    <mergeCell ref="A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9"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20" t="inlineStr">
        <is>
          <t>1. Gross commission</t>
        </is>
      </c>
      <c r="B5" s="20" t="inlineStr">
        <is>
          <t>Collected $ x Blended Carrier Comm %</t>
        </is>
      </c>
      <c r="C5" s="20" t="inlineStr">
        <is>
          <t>$5,000 collected x 11%</t>
        </is>
      </c>
      <c r="D5" s="20" t="inlineStr">
        <is>
          <t>$550.00</t>
        </is>
      </c>
      <c r="E5" s="20" t="inlineStr">
        <is>
          <t>What the agency actually earns from the carrier on the collected portion.</t>
        </is>
      </c>
    </row>
    <row r="6" ht="26" customHeight="1">
      <c r="A6" s="30" t="inlineStr">
        <is>
          <t>2. After royalty</t>
        </is>
      </c>
      <c r="B6" s="30" t="inlineStr">
        <is>
          <t>Gross Comm x (1 - 17.5%)</t>
        </is>
      </c>
      <c r="C6" s="30" t="inlineStr">
        <is>
          <t>$550 x 0.825</t>
        </is>
      </c>
      <c r="D6" s="30" t="inlineStr">
        <is>
          <t>$453.75</t>
        </is>
      </c>
      <c r="E6" s="30" t="inlineStr">
        <is>
          <t>Franchise royalty removed first.</t>
        </is>
      </c>
    </row>
    <row r="7" ht="26" customHeight="1">
      <c r="A7" s="20" t="inlineStr">
        <is>
          <t>3. Safe net</t>
        </is>
      </c>
      <c r="B7" s="20" t="inlineStr">
        <is>
          <t>After-royalty x (1 - 40% overhead)</t>
        </is>
      </c>
      <c r="C7" s="20" t="inlineStr">
        <is>
          <t>$453.75 x 0.60</t>
        </is>
      </c>
      <c r="D7" s="20" t="inlineStr">
        <is>
          <t>$272.25</t>
        </is>
      </c>
      <c r="E7" s="20" t="inlineStr">
        <is>
          <t>Cash available after rent/payroll/tech/admin.</t>
        </is>
      </c>
    </row>
    <row r="8" ht="26" customHeight="1">
      <c r="A8" s="30" t="inlineStr">
        <is>
          <t>4. Bonus target (proposal)</t>
        </is>
      </c>
      <c r="B8" s="30" t="inlineStr">
        <is>
          <t>Per-policy rules + collected kicker</t>
        </is>
      </c>
      <c r="C8" s="30" t="inlineStr">
        <is>
          <t>Per the proposal sheet</t>
        </is>
      </c>
      <c r="D8" s="30" t="inlineStr">
        <is>
          <t>e.g., $70</t>
        </is>
      </c>
      <c r="E8" s="30" t="inlineStr">
        <is>
          <t>Calculated by the plan rules.</t>
        </is>
      </c>
    </row>
    <row r="9" ht="26" customHeight="1">
      <c r="A9" s="20" t="inlineStr">
        <is>
          <t>5. Bonus % of safe net</t>
        </is>
      </c>
      <c r="B9" s="20" t="inlineStr">
        <is>
          <t>Target / safe net</t>
        </is>
      </c>
      <c r="C9" s="20" t="inlineStr">
        <is>
          <t>$70 / $272.25</t>
        </is>
      </c>
      <c r="D9" s="20" t="inlineStr">
        <is>
          <t>25.7%</t>
        </is>
      </c>
      <c r="E9" s="20" t="inlineStr">
        <is>
          <t>How much of safe net is going to bonus this month for this agent.</t>
        </is>
      </c>
    </row>
    <row r="10" ht="26" customHeight="1">
      <c r="A10" s="30" t="inlineStr">
        <is>
          <t>6. Review threshold</t>
        </is>
      </c>
      <c r="B10" s="30" t="inlineStr">
        <is>
          <t>40% of safe net</t>
        </is>
      </c>
      <c r="C10" s="30" t="inlineStr">
        <is>
          <t>$272.25 x 0.40 = $108.90</t>
        </is>
      </c>
      <c r="D10" s="30" t="inlineStr">
        <is>
          <t>Compare</t>
        </is>
      </c>
      <c r="E10" s="30" t="inlineStr">
        <is>
          <t>If target &lt;= $108.90, auto-pay. If target &gt; $108.90, ownership reviews.</t>
        </is>
      </c>
    </row>
    <row r="11" ht="26" customHeight="1">
      <c r="A11" s="20" t="inlineStr">
        <is>
          <t>7. What ownership reviews</t>
        </is>
      </c>
      <c r="B11" s="20" t="inlineStr">
        <is>
          <t>High-bonus % months</t>
        </is>
      </c>
      <c r="C11" s="20" t="inlineStr">
        <is>
          <t>Why is collection so low?</t>
        </is>
      </c>
      <c r="D11" s="20" t="inlineStr">
        <is>
          <t>Coach or override</t>
        </is>
      </c>
      <c r="E11" s="20" t="inlineStr">
        <is>
          <t>Catches the case where an agent writes premium without collecting.</t>
        </is>
      </c>
    </row>
    <row r="12" ht="26" customHeight="1">
      <c r="A12" s="30" t="inlineStr">
        <is>
          <t>8. PRIMARY PROTECTION</t>
        </is>
      </c>
      <c r="B12" s="30" t="inlineStr">
        <is>
          <t>90-day chargeback</t>
        </is>
      </c>
      <c r="C12" s="30" t="inlineStr">
        <is>
          <t>100% reversal</t>
        </is>
      </c>
      <c r="D12" s="30" t="inlineStr">
        <is>
          <t>On cancel/rewrite</t>
        </is>
      </c>
      <c r="E12" s="30" t="inlineStr">
        <is>
          <t>This is the real profit shield - paid bonus is reversed if the policy does not stick.</t>
        </is>
      </c>
    </row>
    <row r="15">
      <c r="A15" s="5" t="inlineStr">
        <is>
          <t>Why we are NOT using a hard automatic cap</t>
        </is>
      </c>
    </row>
    <row r="16" ht="38" customHeight="1">
      <c r="A16" s="31" t="inlineStr">
        <is>
          <t>A hard cap on every month at a low % (e.g., 15%) would squash the proposals so much they all pay the same amount - making A, B, and C indistinguishable. That defeats the purpose of having choices.</t>
        </is>
      </c>
    </row>
    <row r="17" ht="38" customHeight="1">
      <c r="A17" s="31" t="inlineStr">
        <is>
          <t>The 40% REVIEW threshold flags outlier months (low collection, high written premium) so ownership can act, without making the everyday bonus arbitrary.</t>
        </is>
      </c>
    </row>
    <row r="18" ht="38" customHeight="1">
      <c r="A18" s="31" t="inlineStr">
        <is>
          <t>The 90-day CHARGEBACK is the actual profit protection. If a policy cancels in 90 days, the bonus is reversed. That matches carrier commission chargeback exposure exactly.</t>
        </is>
      </c>
    </row>
    <row r="19" ht="38" customHeight="1">
      <c r="A19" s="31" t="inlineStr">
        <is>
          <t>The 4-month modeled cost: Current $12,220, Proposal A $6,219, Proposal B $9,459, Proposal C $6,481. All three proposals are CHEAPER than the current plan even at full target.</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9"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20" t="inlineStr">
        <is>
          <t>1</t>
        </is>
      </c>
      <c r="B5" s="20" t="inlineStr">
        <is>
          <t>Agent</t>
        </is>
      </c>
      <c r="C5" s="20" t="inlineStr">
        <is>
          <t>Enter policy in monthly tracker</t>
        </is>
      </c>
      <c r="D5" s="20" t="inlineStr">
        <is>
          <t>Same month written</t>
        </is>
      </c>
      <c r="E5" s="20" t="inlineStr">
        <is>
          <t>Customer, policy, company, type, premium, collected, PIF, coverages</t>
        </is>
      </c>
      <c r="F5" s="20" t="inlineStr">
        <is>
          <t>Eligible for review</t>
        </is>
      </c>
      <c r="G5" s="20" t="inlineStr">
        <is>
          <t>NB policy written Jan 12</t>
        </is>
      </c>
    </row>
    <row r="6" ht="30" customHeight="1">
      <c r="A6" s="30" t="inlineStr">
        <is>
          <t>2</t>
        </is>
      </c>
      <c r="B6" s="30" t="inlineStr">
        <is>
          <t>Manager</t>
        </is>
      </c>
      <c r="C6" s="30" t="inlineStr">
        <is>
          <t>Verify premium, collected, PIF, coverages</t>
        </is>
      </c>
      <c r="D6" s="30" t="inlineStr">
        <is>
          <t>Before payroll</t>
        </is>
      </c>
      <c r="E6" s="30" t="inlineStr">
        <is>
          <t>Receipts, dec page, MVR, carrier proof</t>
        </is>
      </c>
      <c r="F6" s="30" t="inlineStr">
        <is>
          <t>Approved or denied</t>
        </is>
      </c>
      <c r="G6" s="30" t="inlineStr">
        <is>
          <t>BI/UM proof attached</t>
        </is>
      </c>
    </row>
    <row r="7" ht="30" customHeight="1">
      <c r="A7" s="20" t="inlineStr">
        <is>
          <t>3</t>
        </is>
      </c>
      <c r="B7" s="20" t="inlineStr">
        <is>
          <t>Payroll</t>
        </is>
      </c>
      <c r="C7" s="20" t="inlineStr">
        <is>
          <t>Pay approved bonus</t>
        </is>
      </c>
      <c r="D7" s="20" t="inlineStr">
        <is>
          <t>Monthly payroll</t>
        </is>
      </c>
      <c r="E7" s="20" t="inlineStr">
        <is>
          <t>Approved tracker row</t>
        </is>
      </c>
      <c r="F7" s="20" t="inlineStr">
        <is>
          <t>Bonus paid</t>
        </is>
      </c>
      <c r="G7" s="20" t="inlineStr">
        <is>
          <t>$15 paid in January</t>
        </is>
      </c>
    </row>
    <row r="8" ht="30" customHeight="1">
      <c r="A8" s="30" t="inlineStr">
        <is>
          <t>4</t>
        </is>
      </c>
      <c r="B8" s="30" t="inlineStr">
        <is>
          <t>Manager</t>
        </is>
      </c>
      <c r="C8" s="30" t="inlineStr">
        <is>
          <t>Review policy 90 days after effective</t>
        </is>
      </c>
      <c r="D8" s="30" t="inlineStr">
        <is>
          <t>Month 3</t>
        </is>
      </c>
      <c r="E8" s="30" t="inlineStr">
        <is>
          <t>Carrier status, cancel/rewrite report</t>
        </is>
      </c>
      <c r="F8" s="30" t="inlineStr">
        <is>
          <t>Keep or chargeback</t>
        </is>
      </c>
      <c r="G8" s="30" t="inlineStr">
        <is>
          <t>Jan 12 reviewed Apr 12</t>
        </is>
      </c>
    </row>
    <row r="9" ht="30" customHeight="1">
      <c r="A9" s="20" t="inlineStr">
        <is>
          <t>5</t>
        </is>
      </c>
      <c r="B9" s="20" t="inlineStr">
        <is>
          <t>Payroll</t>
        </is>
      </c>
      <c r="C9" s="20" t="inlineStr">
        <is>
          <t>If cancel/rewrite, reverse 100%</t>
        </is>
      </c>
      <c r="D9" s="20" t="inlineStr">
        <is>
          <t>Next payroll</t>
        </is>
      </c>
      <c r="E9" s="20" t="inlineStr">
        <is>
          <t>Cancel/rewrite flag</t>
        </is>
      </c>
      <c r="F9" s="20" t="inlineStr">
        <is>
          <t>Negative bonus line</t>
        </is>
      </c>
      <c r="G9" s="20" t="inlineStr">
        <is>
          <t>-$15 chargeback</t>
        </is>
      </c>
    </row>
    <row r="10" ht="30" customHeight="1">
      <c r="A10" s="30" t="inlineStr">
        <is>
          <t>6</t>
        </is>
      </c>
      <c r="B10" s="30" t="inlineStr">
        <is>
          <t>Manager</t>
        </is>
      </c>
      <c r="C10" s="30" t="inlineStr">
        <is>
          <t>Document exception if ownership approves</t>
        </is>
      </c>
      <c r="D10" s="30" t="inlineStr">
        <is>
          <t>As needed</t>
        </is>
      </c>
      <c r="E10" s="30" t="inlineStr">
        <is>
          <t>Written approval</t>
        </is>
      </c>
      <c r="F10" s="30" t="inlineStr">
        <is>
          <t>Exception logged</t>
        </is>
      </c>
      <c r="G10" s="30" t="inlineStr">
        <is>
          <t>Carrier error fix</t>
        </is>
      </c>
    </row>
    <row r="11" ht="30" customHeight="1">
      <c r="A11" s="20" t="inlineStr">
        <is>
          <t>7</t>
        </is>
      </c>
      <c r="B11" s="20" t="inlineStr">
        <is>
          <t>Ownership</t>
        </is>
      </c>
      <c r="C11" s="20" t="inlineStr">
        <is>
          <t>Review monthly chargeback totals</t>
        </is>
      </c>
      <c r="D11" s="20" t="inlineStr">
        <is>
          <t>Monthly</t>
        </is>
      </c>
      <c r="E11" s="20" t="inlineStr">
        <is>
          <t>Chargeback report</t>
        </is>
      </c>
      <c r="F11" s="20" t="inlineStr">
        <is>
          <t>Coach or adjust plan</t>
        </is>
      </c>
      <c r="G11" s="20" t="inlineStr">
        <is>
          <t>High chargeback agent flagged</t>
        </is>
      </c>
    </row>
  </sheetData>
  <mergeCells count="2">
    <mergeCell ref="A2:G2"/>
    <mergeCell ref="A1:G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4" customWidth="1" min="1" max="1"/>
    <col width="30" customWidth="1" min="2" max="2"/>
    <col width="32" customWidth="1" min="3" max="3"/>
    <col width="28" customWidth="1" min="4" max="4"/>
  </cols>
  <sheetData>
    <row r="1">
      <c r="A1" s="1" t="inlineStr">
        <is>
          <t>Agent Quick Reference - How You Earn Bonus</t>
        </is>
      </c>
    </row>
    <row r="2">
      <c r="A2" s="29" t="inlineStr">
        <is>
          <t>Pin this to your desk. The plan ownership picks (A, B, or C) will be highlighted on the day the new plan goes live.</t>
        </is>
      </c>
    </row>
    <row r="4">
      <c r="A4" s="5" t="inlineStr">
        <is>
          <t>WHAT GETS BONUSED</t>
        </is>
      </c>
    </row>
    <row r="5" ht="30" customHeight="1">
      <c r="A5" s="2" t="inlineStr">
        <is>
          <t>1. Renewals NOW PAY.</t>
        </is>
      </c>
      <c r="B5" s="3" t="inlineStr">
        <is>
          <t>Under all three new plans, every renewal you keep on the books earns bonus. It used to pay $0.</t>
        </is>
      </c>
    </row>
    <row r="6" ht="30" customHeight="1">
      <c r="A6" s="2" t="inlineStr">
        <is>
          <t>2. Rewrites pay LESS.</t>
        </is>
      </c>
      <c r="B6" s="3" t="inlineStr">
        <is>
          <t>Rewrites pay $1-$2 flat. They do NOT push you into a higher bonus tier anymore.</t>
        </is>
      </c>
    </row>
    <row r="7" ht="30" customHeight="1">
      <c r="A7" s="2" t="inlineStr">
        <is>
          <t>3. Collected money matters.</t>
        </is>
      </c>
      <c r="B7" s="3" t="inlineStr">
        <is>
          <t>The more of the down payment you collect, the bigger your kicker (+10% to +25%).</t>
        </is>
      </c>
    </row>
    <row r="8" ht="30" customHeight="1">
      <c r="A8" s="2" t="inlineStr">
        <is>
          <t>4. PIF policies pay extra.</t>
        </is>
      </c>
      <c r="B8" s="3" t="inlineStr">
        <is>
          <t>If the customer pays in full, you get +$8 NB / +$12 high NB / +$5 REN on top.</t>
        </is>
      </c>
    </row>
    <row r="9" ht="30" customHeight="1">
      <c r="A9" s="2" t="inlineStr">
        <is>
          <t>5. BI+UM bundle pays extra (Proposal B).</t>
        </is>
      </c>
      <c r="B9" s="3" t="inlineStr">
        <is>
          <t>If your NB has BI AND UM together, +$5 added. UM alone is not possible; BI alone earns base only.</t>
        </is>
      </c>
    </row>
    <row r="10" ht="30" customHeight="1">
      <c r="A10" s="2" t="inlineStr">
        <is>
          <t>6. 90-day chargeback.</t>
        </is>
      </c>
      <c r="B10" s="3" t="inlineStr">
        <is>
          <t>If a policy you got paid on cancels or rewrites within 90 days, the bonus is reversed.</t>
        </is>
      </c>
    </row>
    <row r="12">
      <c r="A12" s="5" t="inlineStr">
        <is>
          <t>HOW TO MAXIMIZE YOUR BONUS</t>
        </is>
      </c>
    </row>
    <row r="13" ht="30" customHeight="1">
      <c r="A13" s="2" t="inlineStr">
        <is>
          <t>Push for the bigger down payment.</t>
        </is>
      </c>
      <c r="B13" s="3" t="inlineStr">
        <is>
          <t>Going from 15% to 25% collected adds +5% to your kicker. Going to PIF adds +25%.</t>
        </is>
      </c>
    </row>
    <row r="14" ht="30" customHeight="1">
      <c r="A14" s="2" t="inlineStr">
        <is>
          <t>Save the customer instead of rewriting them.</t>
        </is>
      </c>
      <c r="B14" s="3" t="inlineStr">
        <is>
          <t>A renewal pays $4-$8. A rewrite pays $1-$2. Big difference over a year.</t>
        </is>
      </c>
    </row>
    <row r="15" ht="30" customHeight="1">
      <c r="A15" s="2" t="inlineStr">
        <is>
          <t>Sell the BI+UM bundle on NB (Proposal B).</t>
        </is>
      </c>
      <c r="B15" s="3" t="inlineStr">
        <is>
          <t>Extra +$5 per policy. Track it on the monthly tracker - if it is not documented, you do not get paid for it.</t>
        </is>
      </c>
    </row>
    <row r="16" ht="30" customHeight="1">
      <c r="A16" s="2" t="inlineStr">
        <is>
          <t>Mention PIF.</t>
        </is>
      </c>
      <c r="B16" s="3" t="inlineStr">
        <is>
          <t>Customers who pay in full earn YOU more bonus AND give the agency more cash up front. Win-win.</t>
        </is>
      </c>
    </row>
    <row r="17" ht="30" customHeight="1">
      <c r="A17" s="2" t="inlineStr">
        <is>
          <t>Avoid same-90-day rewrites.</t>
        </is>
      </c>
      <c r="B17" s="3" t="inlineStr">
        <is>
          <t>They reverse the bonus you already earned. Fix the policy without rewriting if you can.</t>
        </is>
      </c>
    </row>
    <row r="19">
      <c r="A19" s="5" t="inlineStr">
        <is>
          <t>QUICK EXAMPLES</t>
        </is>
      </c>
    </row>
    <row r="20">
      <c r="A20" s="6" t="inlineStr">
        <is>
          <t>Scenario</t>
        </is>
      </c>
      <c r="B20" s="6" t="inlineStr">
        <is>
          <t>Proposal A pays</t>
        </is>
      </c>
      <c r="C20" s="6" t="inlineStr">
        <is>
          <t>Proposal B pays</t>
        </is>
      </c>
      <c r="D20" s="6" t="inlineStr">
        <is>
          <t>Proposal C pays</t>
        </is>
      </c>
    </row>
    <row r="21" ht="28" customHeight="1">
      <c r="A21" s="30" t="inlineStr">
        <is>
          <t>NB $1,000 PIP+PD, 25% down</t>
        </is>
      </c>
      <c r="B21" s="12" t="inlineStr">
        <is>
          <t>$5 x 1.15 = $5.75</t>
        </is>
      </c>
      <c r="C21" s="15" t="inlineStr">
        <is>
          <t>$10 x 1.15 = $11.50</t>
        </is>
      </c>
      <c r="D21" s="18" t="inlineStr">
        <is>
          <t>$8 x 1.15 = $9.20</t>
        </is>
      </c>
    </row>
    <row r="22" ht="28" customHeight="1">
      <c r="A22" s="30" t="inlineStr">
        <is>
          <t>NB $2,000 with BI+UM, 25% down</t>
        </is>
      </c>
      <c r="B22" s="12" t="inlineStr">
        <is>
          <t>$9 x 1.15 = $10.35</t>
        </is>
      </c>
      <c r="C22" s="15" t="inlineStr">
        <is>
          <t>($10 + $5) x 1.15 = $17.25</t>
        </is>
      </c>
      <c r="D22" s="18" t="inlineStr">
        <is>
          <t>$8 x 1.15 = $9.20</t>
        </is>
      </c>
    </row>
    <row r="23" ht="28" customHeight="1">
      <c r="A23" s="30" t="inlineStr">
        <is>
          <t>NB $2,500 PIF with BI+UM</t>
        </is>
      </c>
      <c r="B23" s="12" t="inlineStr">
        <is>
          <t>($11 + $8 PIF) x 1.25 = $23.75</t>
        </is>
      </c>
      <c r="C23" s="15" t="inlineStr">
        <is>
          <t>($10 + $5 + $8 PIF) x 1.25 = $28.75</t>
        </is>
      </c>
      <c r="D23" s="18" t="inlineStr">
        <is>
          <t>$8 x 1.25 = $10.00</t>
        </is>
      </c>
    </row>
    <row r="24" ht="28" customHeight="1">
      <c r="A24" s="30" t="inlineStr">
        <is>
          <t>Renewal $1,500 with BI+UM, 25%</t>
        </is>
      </c>
      <c r="B24" s="12" t="inlineStr">
        <is>
          <t>$5 x 1.15 = $5.75</t>
        </is>
      </c>
      <c r="C24" s="15" t="inlineStr">
        <is>
          <t>($6 + $3) x 1.15 = $10.35</t>
        </is>
      </c>
      <c r="D24" s="18" t="inlineStr">
        <is>
          <t>$8 x 1.15 = $9.20</t>
        </is>
      </c>
    </row>
    <row r="25" ht="28" customHeight="1">
      <c r="A25" s="30" t="inlineStr">
        <is>
          <t>Rewrite $1,200</t>
        </is>
      </c>
      <c r="B25" s="12" t="inlineStr">
        <is>
          <t>$2 x 1.15 = $2.30</t>
        </is>
      </c>
      <c r="C25" s="15" t="inlineStr">
        <is>
          <t>$2 x 1.15 = $2.30</t>
        </is>
      </c>
      <c r="D25" s="18" t="inlineStr">
        <is>
          <t>$1 x 1.15 = $1.15</t>
        </is>
      </c>
    </row>
  </sheetData>
  <mergeCells count="16">
    <mergeCell ref="B10:D10"/>
    <mergeCell ref="A1:D1"/>
    <mergeCell ref="B5:D5"/>
    <mergeCell ref="B14:D14"/>
    <mergeCell ref="A12:D12"/>
    <mergeCell ref="A4:D4"/>
    <mergeCell ref="B8:D8"/>
    <mergeCell ref="B17:D17"/>
    <mergeCell ref="B9:D9"/>
    <mergeCell ref="B13:D13"/>
    <mergeCell ref="A2:D2"/>
    <mergeCell ref="A19:D19"/>
    <mergeCell ref="B15:D15"/>
    <mergeCell ref="B7:D7"/>
    <mergeCell ref="B6:D6"/>
    <mergeCell ref="B16:D1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6" customWidth="1" min="1" max="1"/>
    <col width="16" customWidth="1" min="2" max="2"/>
    <col width="12" customWidth="1" min="3" max="3"/>
    <col width="8" customWidth="1" min="4" max="4"/>
    <col width="14" customWidth="1" min="5" max="5"/>
    <col width="10" customWidth="1" min="6" max="6"/>
    <col width="12" customWidth="1" min="7" max="7"/>
    <col width="11" customWidth="1" min="8" max="8"/>
    <col width="12" customWidth="1" min="9" max="9"/>
    <col width="6" customWidth="1" min="10" max="10"/>
    <col width="6" customWidth="1" min="11" max="11"/>
    <col width="12" customWidth="1" min="12" max="12"/>
    <col width="6" customWidth="1" min="13" max="13"/>
    <col width="6" customWidth="1" min="14" max="14"/>
    <col width="6" customWidth="1" min="15" max="15"/>
    <col width="14" customWidth="1" min="16" max="16"/>
    <col width="11" customWidth="1" min="17" max="17"/>
    <col width="9" customWidth="1" min="18" max="18"/>
    <col width="11" customWidth="1" min="19" max="19"/>
    <col width="12" customWidth="1" min="20" max="20"/>
  </cols>
  <sheetData>
    <row r="1">
      <c r="A1" s="1" t="inlineStr">
        <is>
          <t>Monthly Manual Bonus Tracker - Template</t>
        </is>
      </c>
    </row>
    <row r="2">
      <c r="A2" s="29" t="inlineStr">
        <is>
          <t>One copy per month per agent. Only verified rows get paid. Use this whether running Proposal A, B, or C.</t>
        </is>
      </c>
    </row>
    <row r="4">
      <c r="A4" s="6" t="inlineStr">
        <is>
          <t>Agent</t>
        </is>
      </c>
      <c r="B4" s="6" t="inlineStr">
        <is>
          <t>Customer</t>
        </is>
      </c>
      <c r="C4" s="6" t="inlineStr">
        <is>
          <t>Policy #</t>
        </is>
      </c>
      <c r="D4" s="6" t="inlineStr">
        <is>
          <t>Type</t>
        </is>
      </c>
      <c r="E4" s="6" t="inlineStr">
        <is>
          <t>Carrier</t>
        </is>
      </c>
      <c r="F4" s="6" t="inlineStr">
        <is>
          <t>Eff Date</t>
        </is>
      </c>
      <c r="G4" s="6" t="inlineStr">
        <is>
          <t>Written Premium</t>
        </is>
      </c>
      <c r="H4" s="6" t="inlineStr">
        <is>
          <t>Carrier Comm %</t>
        </is>
      </c>
      <c r="I4" s="6" t="inlineStr">
        <is>
          <t>Collected $</t>
        </is>
      </c>
      <c r="J4" s="6" t="inlineStr">
        <is>
          <t>BI?</t>
        </is>
      </c>
      <c r="K4" s="6" t="inlineStr">
        <is>
          <t>UM?</t>
        </is>
      </c>
      <c r="L4" s="6" t="inlineStr">
        <is>
          <t>BI+UM Bundle?</t>
        </is>
      </c>
      <c r="M4" s="6" t="inlineStr">
        <is>
          <t>Comp?</t>
        </is>
      </c>
      <c r="N4" s="6" t="inlineStr">
        <is>
          <t>Coll?</t>
        </is>
      </c>
      <c r="O4" s="6" t="inlineStr">
        <is>
          <t>PIF?</t>
        </is>
      </c>
      <c r="P4" s="6" t="inlineStr">
        <is>
          <t>90-Day Review Date</t>
        </is>
      </c>
      <c r="Q4" s="6" t="inlineStr">
        <is>
          <t>Target Bonus</t>
        </is>
      </c>
      <c r="R4" s="6" t="inlineStr">
        <is>
          <t>Cap</t>
        </is>
      </c>
      <c r="S4" s="6" t="inlineStr">
        <is>
          <t>Final Paid</t>
        </is>
      </c>
      <c r="T4" s="6" t="inlineStr">
        <is>
          <t>Chargeback?</t>
        </is>
      </c>
    </row>
    <row r="5">
      <c r="A5" s="20" t="inlineStr"/>
      <c r="B5" s="20" t="inlineStr"/>
      <c r="C5" s="20" t="inlineStr"/>
      <c r="D5" s="20" t="inlineStr"/>
      <c r="E5" s="20" t="inlineStr"/>
      <c r="F5" s="20" t="inlineStr"/>
      <c r="G5" s="20" t="inlineStr"/>
      <c r="H5" s="20" t="inlineStr"/>
      <c r="I5" s="20" t="inlineStr"/>
      <c r="J5" s="20" t="inlineStr"/>
      <c r="K5" s="20" t="inlineStr"/>
      <c r="L5" s="20" t="inlineStr"/>
      <c r="M5" s="20" t="inlineStr"/>
      <c r="N5" s="20" t="inlineStr"/>
      <c r="O5" s="20" t="inlineStr"/>
      <c r="P5" s="20" t="inlineStr"/>
      <c r="Q5" s="20" t="inlineStr"/>
      <c r="R5" s="20" t="inlineStr"/>
      <c r="S5" s="20" t="inlineStr"/>
      <c r="T5" s="20" t="inlineStr"/>
    </row>
    <row r="6">
      <c r="A6" s="20" t="inlineStr"/>
      <c r="B6" s="20" t="inlineStr"/>
      <c r="C6" s="20" t="inlineStr"/>
      <c r="D6" s="20" t="inlineStr"/>
      <c r="E6" s="20" t="inlineStr"/>
      <c r="F6" s="20" t="inlineStr"/>
      <c r="G6" s="20" t="inlineStr"/>
      <c r="H6" s="20" t="inlineStr"/>
      <c r="I6" s="20" t="inlineStr"/>
      <c r="J6" s="20" t="inlineStr"/>
      <c r="K6" s="20" t="inlineStr"/>
      <c r="L6" s="20" t="inlineStr"/>
      <c r="M6" s="20" t="inlineStr"/>
      <c r="N6" s="20" t="inlineStr"/>
      <c r="O6" s="20" t="inlineStr"/>
      <c r="P6" s="20" t="inlineStr"/>
      <c r="Q6" s="20" t="inlineStr"/>
      <c r="R6" s="20" t="inlineStr"/>
      <c r="S6" s="20" t="inlineStr"/>
      <c r="T6" s="20" t="inlineStr"/>
    </row>
    <row r="7">
      <c r="A7" s="20" t="inlineStr"/>
      <c r="B7" s="20" t="inlineStr"/>
      <c r="C7" s="20" t="inlineStr"/>
      <c r="D7" s="20" t="inlineStr"/>
      <c r="E7" s="20" t="inlineStr"/>
      <c r="F7" s="20" t="inlineStr"/>
      <c r="G7" s="20" t="inlineStr"/>
      <c r="H7" s="20" t="inlineStr"/>
      <c r="I7" s="20" t="inlineStr"/>
      <c r="J7" s="20" t="inlineStr"/>
      <c r="K7" s="20" t="inlineStr"/>
      <c r="L7" s="20" t="inlineStr"/>
      <c r="M7" s="20" t="inlineStr"/>
      <c r="N7" s="20" t="inlineStr"/>
      <c r="O7" s="20" t="inlineStr"/>
      <c r="P7" s="20" t="inlineStr"/>
      <c r="Q7" s="20" t="inlineStr"/>
      <c r="R7" s="20" t="inlineStr"/>
      <c r="S7" s="20" t="inlineStr"/>
      <c r="T7" s="20" t="inlineStr"/>
    </row>
    <row r="8">
      <c r="A8" s="20" t="inlineStr"/>
      <c r="B8" s="20" t="inlineStr"/>
      <c r="C8" s="20" t="inlineStr"/>
      <c r="D8" s="20" t="inlineStr"/>
      <c r="E8" s="20" t="inlineStr"/>
      <c r="F8" s="20" t="inlineStr"/>
      <c r="G8" s="20" t="inlineStr"/>
      <c r="H8" s="20" t="inlineStr"/>
      <c r="I8" s="20" t="inlineStr"/>
      <c r="J8" s="20" t="inlineStr"/>
      <c r="K8" s="20" t="inlineStr"/>
      <c r="L8" s="20" t="inlineStr"/>
      <c r="M8" s="20" t="inlineStr"/>
      <c r="N8" s="20" t="inlineStr"/>
      <c r="O8" s="20" t="inlineStr"/>
      <c r="P8" s="20" t="inlineStr"/>
      <c r="Q8" s="20" t="inlineStr"/>
      <c r="R8" s="20" t="inlineStr"/>
      <c r="S8" s="20" t="inlineStr"/>
      <c r="T8" s="20" t="inlineStr"/>
    </row>
    <row r="9">
      <c r="A9" s="20" t="inlineStr"/>
      <c r="B9" s="20" t="inlineStr"/>
      <c r="C9" s="20" t="inlineStr"/>
      <c r="D9" s="20" t="inlineStr"/>
      <c r="E9" s="20" t="inlineStr"/>
      <c r="F9" s="20" t="inlineStr"/>
      <c r="G9" s="20" t="inlineStr"/>
      <c r="H9" s="20" t="inlineStr"/>
      <c r="I9" s="20" t="inlineStr"/>
      <c r="J9" s="20" t="inlineStr"/>
      <c r="K9" s="20" t="inlineStr"/>
      <c r="L9" s="20" t="inlineStr"/>
      <c r="M9" s="20" t="inlineStr"/>
      <c r="N9" s="20" t="inlineStr"/>
      <c r="O9" s="20" t="inlineStr"/>
      <c r="P9" s="20" t="inlineStr"/>
      <c r="Q9" s="20" t="inlineStr"/>
      <c r="R9" s="20" t="inlineStr"/>
      <c r="S9" s="20" t="inlineStr"/>
      <c r="T9" s="20" t="inlineStr"/>
    </row>
    <row r="10">
      <c r="A10" s="20" t="inlineStr"/>
      <c r="B10" s="20" t="inlineStr"/>
      <c r="C10" s="20" t="inlineStr"/>
      <c r="D10" s="20" t="inlineStr"/>
      <c r="E10" s="20" t="inlineStr"/>
      <c r="F10" s="20" t="inlineStr"/>
      <c r="G10" s="20" t="inlineStr"/>
      <c r="H10" s="20" t="inlineStr"/>
      <c r="I10" s="20" t="inlineStr"/>
      <c r="J10" s="20" t="inlineStr"/>
      <c r="K10" s="20" t="inlineStr"/>
      <c r="L10" s="20" t="inlineStr"/>
      <c r="M10" s="20" t="inlineStr"/>
      <c r="N10" s="20" t="inlineStr"/>
      <c r="O10" s="20" t="inlineStr"/>
      <c r="P10" s="20" t="inlineStr"/>
      <c r="Q10" s="20" t="inlineStr"/>
      <c r="R10" s="20" t="inlineStr"/>
      <c r="S10" s="20" t="inlineStr"/>
      <c r="T10" s="20" t="inlineStr"/>
    </row>
    <row r="11">
      <c r="A11" s="20" t="inlineStr"/>
      <c r="B11" s="20" t="inlineStr"/>
      <c r="C11" s="20" t="inlineStr"/>
      <c r="D11" s="20" t="inlineStr"/>
      <c r="E11" s="20" t="inlineStr"/>
      <c r="F11" s="20" t="inlineStr"/>
      <c r="G11" s="20" t="inlineStr"/>
      <c r="H11" s="20" t="inlineStr"/>
      <c r="I11" s="20" t="inlineStr"/>
      <c r="J11" s="20" t="inlineStr"/>
      <c r="K11" s="20" t="inlineStr"/>
      <c r="L11" s="20" t="inlineStr"/>
      <c r="M11" s="20" t="inlineStr"/>
      <c r="N11" s="20" t="inlineStr"/>
      <c r="O11" s="20" t="inlineStr"/>
      <c r="P11" s="20" t="inlineStr"/>
      <c r="Q11" s="20" t="inlineStr"/>
      <c r="R11" s="20" t="inlineStr"/>
      <c r="S11" s="20" t="inlineStr"/>
      <c r="T11" s="20" t="inlineStr"/>
    </row>
    <row r="12">
      <c r="A12" s="20" t="inlineStr"/>
      <c r="B12" s="20" t="inlineStr"/>
      <c r="C12" s="20" t="inlineStr"/>
      <c r="D12" s="20" t="inlineStr"/>
      <c r="E12" s="20" t="inlineStr"/>
      <c r="F12" s="20" t="inlineStr"/>
      <c r="G12" s="20" t="inlineStr"/>
      <c r="H12" s="20" t="inlineStr"/>
      <c r="I12" s="20" t="inlineStr"/>
      <c r="J12" s="20" t="inlineStr"/>
      <c r="K12" s="20" t="inlineStr"/>
      <c r="L12" s="20" t="inlineStr"/>
      <c r="M12" s="20" t="inlineStr"/>
      <c r="N12" s="20" t="inlineStr"/>
      <c r="O12" s="20" t="inlineStr"/>
      <c r="P12" s="20" t="inlineStr"/>
      <c r="Q12" s="20" t="inlineStr"/>
      <c r="R12" s="20" t="inlineStr"/>
      <c r="S12" s="20" t="inlineStr"/>
      <c r="T12" s="20" t="inlineStr"/>
    </row>
    <row r="13">
      <c r="A13" s="20" t="inlineStr"/>
      <c r="B13" s="20" t="inlineStr"/>
      <c r="C13" s="20" t="inlineStr"/>
      <c r="D13" s="20" t="inlineStr"/>
      <c r="E13" s="20" t="inlineStr"/>
      <c r="F13" s="20" t="inlineStr"/>
      <c r="G13" s="20" t="inlineStr"/>
      <c r="H13" s="20" t="inlineStr"/>
      <c r="I13" s="20" t="inlineStr"/>
      <c r="J13" s="20" t="inlineStr"/>
      <c r="K13" s="20" t="inlineStr"/>
      <c r="L13" s="20" t="inlineStr"/>
      <c r="M13" s="20" t="inlineStr"/>
      <c r="N13" s="20" t="inlineStr"/>
      <c r="O13" s="20" t="inlineStr"/>
      <c r="P13" s="20" t="inlineStr"/>
      <c r="Q13" s="20" t="inlineStr"/>
      <c r="R13" s="20" t="inlineStr"/>
      <c r="S13" s="20" t="inlineStr"/>
      <c r="T13" s="20" t="inlineStr"/>
    </row>
    <row r="14">
      <c r="A14" s="20" t="inlineStr"/>
      <c r="B14" s="20" t="inlineStr"/>
      <c r="C14" s="20" t="inlineStr"/>
      <c r="D14" s="20" t="inlineStr"/>
      <c r="E14" s="20" t="inlineStr"/>
      <c r="F14" s="20" t="inlineStr"/>
      <c r="G14" s="20" t="inlineStr"/>
      <c r="H14" s="20" t="inlineStr"/>
      <c r="I14" s="20" t="inlineStr"/>
      <c r="J14" s="20" t="inlineStr"/>
      <c r="K14" s="20" t="inlineStr"/>
      <c r="L14" s="20" t="inlineStr"/>
      <c r="M14" s="20" t="inlineStr"/>
      <c r="N14" s="20" t="inlineStr"/>
      <c r="O14" s="20" t="inlineStr"/>
      <c r="P14" s="20" t="inlineStr"/>
      <c r="Q14" s="20" t="inlineStr"/>
      <c r="R14" s="20" t="inlineStr"/>
      <c r="S14" s="20" t="inlineStr"/>
      <c r="T14" s="20" t="inlineStr"/>
    </row>
    <row r="15">
      <c r="A15" s="20" t="inlineStr"/>
      <c r="B15" s="20" t="inlineStr"/>
      <c r="C15" s="20" t="inlineStr"/>
      <c r="D15" s="20" t="inlineStr"/>
      <c r="E15" s="20" t="inlineStr"/>
      <c r="F15" s="20" t="inlineStr"/>
      <c r="G15" s="20" t="inlineStr"/>
      <c r="H15" s="20" t="inlineStr"/>
      <c r="I15" s="20" t="inlineStr"/>
      <c r="J15" s="20" t="inlineStr"/>
      <c r="K15" s="20" t="inlineStr"/>
      <c r="L15" s="20" t="inlineStr"/>
      <c r="M15" s="20" t="inlineStr"/>
      <c r="N15" s="20" t="inlineStr"/>
      <c r="O15" s="20" t="inlineStr"/>
      <c r="P15" s="20" t="inlineStr"/>
      <c r="Q15" s="20" t="inlineStr"/>
      <c r="R15" s="20" t="inlineStr"/>
      <c r="S15" s="20" t="inlineStr"/>
      <c r="T15" s="20" t="inlineStr"/>
    </row>
    <row r="16">
      <c r="A16" s="20" t="inlineStr"/>
      <c r="B16" s="20" t="inlineStr"/>
      <c r="C16" s="20" t="inlineStr"/>
      <c r="D16" s="20" t="inlineStr"/>
      <c r="E16" s="20" t="inlineStr"/>
      <c r="F16" s="20" t="inlineStr"/>
      <c r="G16" s="20" t="inlineStr"/>
      <c r="H16" s="20" t="inlineStr"/>
      <c r="I16" s="20" t="inlineStr"/>
      <c r="J16" s="20" t="inlineStr"/>
      <c r="K16" s="20" t="inlineStr"/>
      <c r="L16" s="20" t="inlineStr"/>
      <c r="M16" s="20" t="inlineStr"/>
      <c r="N16" s="20" t="inlineStr"/>
      <c r="O16" s="20" t="inlineStr"/>
      <c r="P16" s="20" t="inlineStr"/>
      <c r="Q16" s="20" t="inlineStr"/>
      <c r="R16" s="20" t="inlineStr"/>
      <c r="S16" s="20" t="inlineStr"/>
      <c r="T16" s="20" t="inlineStr"/>
    </row>
    <row r="17">
      <c r="A17" s="20" t="inlineStr"/>
      <c r="B17" s="20" t="inlineStr"/>
      <c r="C17" s="20" t="inlineStr"/>
      <c r="D17" s="20" t="inlineStr"/>
      <c r="E17" s="20" t="inlineStr"/>
      <c r="F17" s="20" t="inlineStr"/>
      <c r="G17" s="20" t="inlineStr"/>
      <c r="H17" s="20" t="inlineStr"/>
      <c r="I17" s="20" t="inlineStr"/>
      <c r="J17" s="20" t="inlineStr"/>
      <c r="K17" s="20" t="inlineStr"/>
      <c r="L17" s="20" t="inlineStr"/>
      <c r="M17" s="20" t="inlineStr"/>
      <c r="N17" s="20" t="inlineStr"/>
      <c r="O17" s="20" t="inlineStr"/>
      <c r="P17" s="20" t="inlineStr"/>
      <c r="Q17" s="20" t="inlineStr"/>
      <c r="R17" s="20" t="inlineStr"/>
      <c r="S17" s="20" t="inlineStr"/>
      <c r="T17" s="20" t="inlineStr"/>
    </row>
    <row r="18">
      <c r="A18" s="20" t="inlineStr"/>
      <c r="B18" s="20" t="inlineStr"/>
      <c r="C18" s="20" t="inlineStr"/>
      <c r="D18" s="20" t="inlineStr"/>
      <c r="E18" s="20" t="inlineStr"/>
      <c r="F18" s="20" t="inlineStr"/>
      <c r="G18" s="20" t="inlineStr"/>
      <c r="H18" s="20" t="inlineStr"/>
      <c r="I18" s="20" t="inlineStr"/>
      <c r="J18" s="20" t="inlineStr"/>
      <c r="K18" s="20" t="inlineStr"/>
      <c r="L18" s="20" t="inlineStr"/>
      <c r="M18" s="20" t="inlineStr"/>
      <c r="N18" s="20" t="inlineStr"/>
      <c r="O18" s="20" t="inlineStr"/>
      <c r="P18" s="20" t="inlineStr"/>
      <c r="Q18" s="20" t="inlineStr"/>
      <c r="R18" s="20" t="inlineStr"/>
      <c r="S18" s="20" t="inlineStr"/>
      <c r="T18" s="20" t="inlineStr"/>
    </row>
    <row r="19">
      <c r="A19" s="20" t="inlineStr"/>
      <c r="B19" s="20" t="inlineStr"/>
      <c r="C19" s="20" t="inlineStr"/>
      <c r="D19" s="20" t="inlineStr"/>
      <c r="E19" s="20" t="inlineStr"/>
      <c r="F19" s="20" t="inlineStr"/>
      <c r="G19" s="20" t="inlineStr"/>
      <c r="H19" s="20" t="inlineStr"/>
      <c r="I19" s="20" t="inlineStr"/>
      <c r="J19" s="20" t="inlineStr"/>
      <c r="K19" s="20" t="inlineStr"/>
      <c r="L19" s="20" t="inlineStr"/>
      <c r="M19" s="20" t="inlineStr"/>
      <c r="N19" s="20" t="inlineStr"/>
      <c r="O19" s="20" t="inlineStr"/>
      <c r="P19" s="20" t="inlineStr"/>
      <c r="Q19" s="20" t="inlineStr"/>
      <c r="R19" s="20" t="inlineStr"/>
      <c r="S19" s="20" t="inlineStr"/>
      <c r="T19" s="20" t="inlineStr"/>
    </row>
    <row r="20">
      <c r="A20" s="20" t="inlineStr"/>
      <c r="B20" s="20" t="inlineStr"/>
      <c r="C20" s="20" t="inlineStr"/>
      <c r="D20" s="20" t="inlineStr"/>
      <c r="E20" s="20" t="inlineStr"/>
      <c r="F20" s="20" t="inlineStr"/>
      <c r="G20" s="20" t="inlineStr"/>
      <c r="H20" s="20" t="inlineStr"/>
      <c r="I20" s="20" t="inlineStr"/>
      <c r="J20" s="20" t="inlineStr"/>
      <c r="K20" s="20" t="inlineStr"/>
      <c r="L20" s="20" t="inlineStr"/>
      <c r="M20" s="20" t="inlineStr"/>
      <c r="N20" s="20" t="inlineStr"/>
      <c r="O20" s="20" t="inlineStr"/>
      <c r="P20" s="20" t="inlineStr"/>
      <c r="Q20" s="20" t="inlineStr"/>
      <c r="R20" s="20" t="inlineStr"/>
      <c r="S20" s="20" t="inlineStr"/>
      <c r="T20" s="20" t="inlineStr"/>
    </row>
    <row r="21">
      <c r="A21" s="20" t="inlineStr"/>
      <c r="B21" s="20" t="inlineStr"/>
      <c r="C21" s="20" t="inlineStr"/>
      <c r="D21" s="20" t="inlineStr"/>
      <c r="E21" s="20" t="inlineStr"/>
      <c r="F21" s="20" t="inlineStr"/>
      <c r="G21" s="20" t="inlineStr"/>
      <c r="H21" s="20" t="inlineStr"/>
      <c r="I21" s="20" t="inlineStr"/>
      <c r="J21" s="20" t="inlineStr"/>
      <c r="K21" s="20" t="inlineStr"/>
      <c r="L21" s="20" t="inlineStr"/>
      <c r="M21" s="20" t="inlineStr"/>
      <c r="N21" s="20" t="inlineStr"/>
      <c r="O21" s="20" t="inlineStr"/>
      <c r="P21" s="20" t="inlineStr"/>
      <c r="Q21" s="20" t="inlineStr"/>
      <c r="R21" s="20" t="inlineStr"/>
      <c r="S21" s="20" t="inlineStr"/>
      <c r="T21" s="20" t="inlineStr"/>
    </row>
    <row r="22">
      <c r="A22" s="20" t="inlineStr"/>
      <c r="B22" s="20" t="inlineStr"/>
      <c r="C22" s="20" t="inlineStr"/>
      <c r="D22" s="20" t="inlineStr"/>
      <c r="E22" s="20" t="inlineStr"/>
      <c r="F22" s="20" t="inlineStr"/>
      <c r="G22" s="20" t="inlineStr"/>
      <c r="H22" s="20" t="inlineStr"/>
      <c r="I22" s="20" t="inlineStr"/>
      <c r="J22" s="20" t="inlineStr"/>
      <c r="K22" s="20" t="inlineStr"/>
      <c r="L22" s="20" t="inlineStr"/>
      <c r="M22" s="20" t="inlineStr"/>
      <c r="N22" s="20" t="inlineStr"/>
      <c r="O22" s="20" t="inlineStr"/>
      <c r="P22" s="20" t="inlineStr"/>
      <c r="Q22" s="20" t="inlineStr"/>
      <c r="R22" s="20" t="inlineStr"/>
      <c r="S22" s="20" t="inlineStr"/>
      <c r="T22" s="20" t="inlineStr"/>
    </row>
    <row r="23">
      <c r="A23" s="20" t="inlineStr"/>
      <c r="B23" s="20" t="inlineStr"/>
      <c r="C23" s="20" t="inlineStr"/>
      <c r="D23" s="20" t="inlineStr"/>
      <c r="E23" s="20" t="inlineStr"/>
      <c r="F23" s="20" t="inlineStr"/>
      <c r="G23" s="20" t="inlineStr"/>
      <c r="H23" s="20" t="inlineStr"/>
      <c r="I23" s="20" t="inlineStr"/>
      <c r="J23" s="20" t="inlineStr"/>
      <c r="K23" s="20" t="inlineStr"/>
      <c r="L23" s="20" t="inlineStr"/>
      <c r="M23" s="20" t="inlineStr"/>
      <c r="N23" s="20" t="inlineStr"/>
      <c r="O23" s="20" t="inlineStr"/>
      <c r="P23" s="20" t="inlineStr"/>
      <c r="Q23" s="20" t="inlineStr"/>
      <c r="R23" s="20" t="inlineStr"/>
      <c r="S23" s="20" t="inlineStr"/>
      <c r="T23" s="20" t="inlineStr"/>
    </row>
    <row r="24">
      <c r="A24" s="20" t="inlineStr"/>
      <c r="B24" s="20" t="inlineStr"/>
      <c r="C24" s="20" t="inlineStr"/>
      <c r="D24" s="20" t="inlineStr"/>
      <c r="E24" s="20" t="inlineStr"/>
      <c r="F24" s="20" t="inlineStr"/>
      <c r="G24" s="20" t="inlineStr"/>
      <c r="H24" s="20" t="inlineStr"/>
      <c r="I24" s="20" t="inlineStr"/>
      <c r="J24" s="20" t="inlineStr"/>
      <c r="K24" s="20" t="inlineStr"/>
      <c r="L24" s="20" t="inlineStr"/>
      <c r="M24" s="20" t="inlineStr"/>
      <c r="N24" s="20" t="inlineStr"/>
      <c r="O24" s="20" t="inlineStr"/>
      <c r="P24" s="20" t="inlineStr"/>
      <c r="Q24" s="20" t="inlineStr"/>
      <c r="R24" s="20" t="inlineStr"/>
      <c r="S24" s="20" t="inlineStr"/>
      <c r="T24" s="20" t="inlineStr"/>
    </row>
    <row r="25">
      <c r="A25" s="20" t="inlineStr"/>
      <c r="B25" s="20" t="inlineStr"/>
      <c r="C25" s="20" t="inlineStr"/>
      <c r="D25" s="20" t="inlineStr"/>
      <c r="E25" s="20" t="inlineStr"/>
      <c r="F25" s="20" t="inlineStr"/>
      <c r="G25" s="20" t="inlineStr"/>
      <c r="H25" s="20" t="inlineStr"/>
      <c r="I25" s="20" t="inlineStr"/>
      <c r="J25" s="20" t="inlineStr"/>
      <c r="K25" s="20" t="inlineStr"/>
      <c r="L25" s="20" t="inlineStr"/>
      <c r="M25" s="20" t="inlineStr"/>
      <c r="N25" s="20" t="inlineStr"/>
      <c r="O25" s="20" t="inlineStr"/>
      <c r="P25" s="20" t="inlineStr"/>
      <c r="Q25" s="20" t="inlineStr"/>
      <c r="R25" s="20" t="inlineStr"/>
      <c r="S25" s="20" t="inlineStr"/>
      <c r="T25" s="20" t="inlineStr"/>
    </row>
    <row r="26">
      <c r="A26" s="20" t="inlineStr"/>
      <c r="B26" s="20" t="inlineStr"/>
      <c r="C26" s="20" t="inlineStr"/>
      <c r="D26" s="20" t="inlineStr"/>
      <c r="E26" s="20" t="inlineStr"/>
      <c r="F26" s="20" t="inlineStr"/>
      <c r="G26" s="20" t="inlineStr"/>
      <c r="H26" s="20" t="inlineStr"/>
      <c r="I26" s="20" t="inlineStr"/>
      <c r="J26" s="20" t="inlineStr"/>
      <c r="K26" s="20" t="inlineStr"/>
      <c r="L26" s="20" t="inlineStr"/>
      <c r="M26" s="20" t="inlineStr"/>
      <c r="N26" s="20" t="inlineStr"/>
      <c r="O26" s="20" t="inlineStr"/>
      <c r="P26" s="20" t="inlineStr"/>
      <c r="Q26" s="20" t="inlineStr"/>
      <c r="R26" s="20" t="inlineStr"/>
      <c r="S26" s="20" t="inlineStr"/>
      <c r="T26" s="20" t="inlineStr"/>
    </row>
    <row r="27">
      <c r="A27" s="20" t="inlineStr"/>
      <c r="B27" s="20" t="inlineStr"/>
      <c r="C27" s="20" t="inlineStr"/>
      <c r="D27" s="20" t="inlineStr"/>
      <c r="E27" s="20" t="inlineStr"/>
      <c r="F27" s="20" t="inlineStr"/>
      <c r="G27" s="20" t="inlineStr"/>
      <c r="H27" s="20" t="inlineStr"/>
      <c r="I27" s="20" t="inlineStr"/>
      <c r="J27" s="20" t="inlineStr"/>
      <c r="K27" s="20" t="inlineStr"/>
      <c r="L27" s="20" t="inlineStr"/>
      <c r="M27" s="20" t="inlineStr"/>
      <c r="N27" s="20" t="inlineStr"/>
      <c r="O27" s="20" t="inlineStr"/>
      <c r="P27" s="20" t="inlineStr"/>
      <c r="Q27" s="20" t="inlineStr"/>
      <c r="R27" s="20" t="inlineStr"/>
      <c r="S27" s="20" t="inlineStr"/>
      <c r="T27" s="20" t="inlineStr"/>
    </row>
    <row r="28">
      <c r="A28" s="20" t="inlineStr"/>
      <c r="B28" s="20" t="inlineStr"/>
      <c r="C28" s="20" t="inlineStr"/>
      <c r="D28" s="20" t="inlineStr"/>
      <c r="E28" s="20" t="inlineStr"/>
      <c r="F28" s="20" t="inlineStr"/>
      <c r="G28" s="20" t="inlineStr"/>
      <c r="H28" s="20" t="inlineStr"/>
      <c r="I28" s="20" t="inlineStr"/>
      <c r="J28" s="20" t="inlineStr"/>
      <c r="K28" s="20" t="inlineStr"/>
      <c r="L28" s="20" t="inlineStr"/>
      <c r="M28" s="20" t="inlineStr"/>
      <c r="N28" s="20" t="inlineStr"/>
      <c r="O28" s="20" t="inlineStr"/>
      <c r="P28" s="20" t="inlineStr"/>
      <c r="Q28" s="20" t="inlineStr"/>
      <c r="R28" s="20" t="inlineStr"/>
      <c r="S28" s="20" t="inlineStr"/>
      <c r="T28" s="20" t="inlineStr"/>
    </row>
    <row r="29">
      <c r="A29" s="20" t="inlineStr"/>
      <c r="B29" s="20" t="inlineStr"/>
      <c r="C29" s="20" t="inlineStr"/>
      <c r="D29" s="20" t="inlineStr"/>
      <c r="E29" s="20" t="inlineStr"/>
      <c r="F29" s="20" t="inlineStr"/>
      <c r="G29" s="20" t="inlineStr"/>
      <c r="H29" s="20" t="inlineStr"/>
      <c r="I29" s="20" t="inlineStr"/>
      <c r="J29" s="20" t="inlineStr"/>
      <c r="K29" s="20" t="inlineStr"/>
      <c r="L29" s="20" t="inlineStr"/>
      <c r="M29" s="20" t="inlineStr"/>
      <c r="N29" s="20" t="inlineStr"/>
      <c r="O29" s="20" t="inlineStr"/>
      <c r="P29" s="20" t="inlineStr"/>
      <c r="Q29" s="20" t="inlineStr"/>
      <c r="R29" s="20" t="inlineStr"/>
      <c r="S29" s="20" t="inlineStr"/>
      <c r="T29" s="20" t="inlineStr"/>
    </row>
    <row r="30">
      <c r="A30" s="20" t="inlineStr"/>
      <c r="B30" s="20" t="inlineStr"/>
      <c r="C30" s="20" t="inlineStr"/>
      <c r="D30" s="20" t="inlineStr"/>
      <c r="E30" s="20" t="inlineStr"/>
      <c r="F30" s="20" t="inlineStr"/>
      <c r="G30" s="20" t="inlineStr"/>
      <c r="H30" s="20" t="inlineStr"/>
      <c r="I30" s="20" t="inlineStr"/>
      <c r="J30" s="20" t="inlineStr"/>
      <c r="K30" s="20" t="inlineStr"/>
      <c r="L30" s="20" t="inlineStr"/>
      <c r="M30" s="20" t="inlineStr"/>
      <c r="N30" s="20" t="inlineStr"/>
      <c r="O30" s="20" t="inlineStr"/>
      <c r="P30" s="20" t="inlineStr"/>
      <c r="Q30" s="20" t="inlineStr"/>
      <c r="R30" s="20" t="inlineStr"/>
      <c r="S30" s="20" t="inlineStr"/>
      <c r="T30" s="20" t="inlineStr"/>
    </row>
    <row r="31">
      <c r="A31" s="20" t="inlineStr"/>
      <c r="B31" s="20" t="inlineStr"/>
      <c r="C31" s="20" t="inlineStr"/>
      <c r="D31" s="20" t="inlineStr"/>
      <c r="E31" s="20" t="inlineStr"/>
      <c r="F31" s="20" t="inlineStr"/>
      <c r="G31" s="20" t="inlineStr"/>
      <c r="H31" s="20" t="inlineStr"/>
      <c r="I31" s="20" t="inlineStr"/>
      <c r="J31" s="20" t="inlineStr"/>
      <c r="K31" s="20" t="inlineStr"/>
      <c r="L31" s="20" t="inlineStr"/>
      <c r="M31" s="20" t="inlineStr"/>
      <c r="N31" s="20" t="inlineStr"/>
      <c r="O31" s="20" t="inlineStr"/>
      <c r="P31" s="20" t="inlineStr"/>
      <c r="Q31" s="20" t="inlineStr"/>
      <c r="R31" s="20" t="inlineStr"/>
      <c r="S31" s="20" t="inlineStr"/>
      <c r="T31" s="20" t="inlineStr"/>
    </row>
    <row r="32">
      <c r="A32" s="20" t="inlineStr"/>
      <c r="B32" s="20" t="inlineStr"/>
      <c r="C32" s="20" t="inlineStr"/>
      <c r="D32" s="20" t="inlineStr"/>
      <c r="E32" s="20" t="inlineStr"/>
      <c r="F32" s="20" t="inlineStr"/>
      <c r="G32" s="20" t="inlineStr"/>
      <c r="H32" s="20" t="inlineStr"/>
      <c r="I32" s="20" t="inlineStr"/>
      <c r="J32" s="20" t="inlineStr"/>
      <c r="K32" s="20" t="inlineStr"/>
      <c r="L32" s="20" t="inlineStr"/>
      <c r="M32" s="20" t="inlineStr"/>
      <c r="N32" s="20" t="inlineStr"/>
      <c r="O32" s="20" t="inlineStr"/>
      <c r="P32" s="20" t="inlineStr"/>
      <c r="Q32" s="20" t="inlineStr"/>
      <c r="R32" s="20" t="inlineStr"/>
      <c r="S32" s="20" t="inlineStr"/>
      <c r="T32" s="20" t="inlineStr"/>
    </row>
    <row r="33">
      <c r="A33" s="20" t="inlineStr"/>
      <c r="B33" s="20" t="inlineStr"/>
      <c r="C33" s="20" t="inlineStr"/>
      <c r="D33" s="20" t="inlineStr"/>
      <c r="E33" s="20" t="inlineStr"/>
      <c r="F33" s="20" t="inlineStr"/>
      <c r="G33" s="20" t="inlineStr"/>
      <c r="H33" s="20" t="inlineStr"/>
      <c r="I33" s="20" t="inlineStr"/>
      <c r="J33" s="20" t="inlineStr"/>
      <c r="K33" s="20" t="inlineStr"/>
      <c r="L33" s="20" t="inlineStr"/>
      <c r="M33" s="20" t="inlineStr"/>
      <c r="N33" s="20" t="inlineStr"/>
      <c r="O33" s="20" t="inlineStr"/>
      <c r="P33" s="20" t="inlineStr"/>
      <c r="Q33" s="20" t="inlineStr"/>
      <c r="R33" s="20" t="inlineStr"/>
      <c r="S33" s="20" t="inlineStr"/>
      <c r="T33" s="20" t="inlineStr"/>
    </row>
    <row r="34">
      <c r="A34" s="20" t="inlineStr"/>
      <c r="B34" s="20" t="inlineStr"/>
      <c r="C34" s="20" t="inlineStr"/>
      <c r="D34" s="20" t="inlineStr"/>
      <c r="E34" s="20" t="inlineStr"/>
      <c r="F34" s="20" t="inlineStr"/>
      <c r="G34" s="20" t="inlineStr"/>
      <c r="H34" s="20" t="inlineStr"/>
      <c r="I34" s="20" t="inlineStr"/>
      <c r="J34" s="20" t="inlineStr"/>
      <c r="K34" s="20" t="inlineStr"/>
      <c r="L34" s="20" t="inlineStr"/>
      <c r="M34" s="20" t="inlineStr"/>
      <c r="N34" s="20" t="inlineStr"/>
      <c r="O34" s="20" t="inlineStr"/>
      <c r="P34" s="20" t="inlineStr"/>
      <c r="Q34" s="20" t="inlineStr"/>
      <c r="R34" s="20" t="inlineStr"/>
      <c r="S34" s="20" t="inlineStr"/>
      <c r="T34" s="20" t="inlineStr"/>
    </row>
  </sheetData>
  <mergeCells count="2">
    <mergeCell ref="A1:T1"/>
    <mergeCell ref="A2:T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9"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20" t="inlineStr">
        <is>
          <t>Royalty rate</t>
        </is>
      </c>
      <c r="B5" s="20" t="inlineStr">
        <is>
          <t>17.5%</t>
        </is>
      </c>
      <c r="C5" s="20" t="inlineStr">
        <is>
          <t>Franchise royalty removed before safe net.</t>
        </is>
      </c>
      <c r="D5" s="20" t="inlineStr">
        <is>
          <t>Standard Fiesta franchise royalty.</t>
        </is>
      </c>
    </row>
    <row r="6" ht="26" customHeight="1">
      <c r="A6" s="30" t="inlineStr">
        <is>
          <t>Overhead reserve</t>
        </is>
      </c>
      <c r="B6" s="30" t="inlineStr">
        <is>
          <t>40%</t>
        </is>
      </c>
      <c r="C6" s="30" t="inlineStr">
        <is>
          <t>Rent, payroll, tech, admin, bank fees, etc.</t>
        </is>
      </c>
      <c r="D6" s="30" t="inlineStr">
        <is>
          <t>Conservative monthly fixed-cost reserve.</t>
        </is>
      </c>
    </row>
    <row r="7" ht="26" customHeight="1">
      <c r="A7" s="20" t="inlineStr">
        <is>
          <t>Blended carrier commission</t>
        </is>
      </c>
      <c r="B7" s="20" t="inlineStr">
        <is>
          <t>11%</t>
        </is>
      </c>
      <c r="C7" s="20" t="inlineStr">
        <is>
          <t>Used for the safe-net calculation in the aggregate model.</t>
        </is>
      </c>
      <c r="D7" s="20" t="inlineStr">
        <is>
          <t>Range across carriers: 8% (Bristol West) to 15% (Geico/Kemper). 11% is the book-weighted blend.</t>
        </is>
      </c>
    </row>
    <row r="8" ht="26" customHeight="1">
      <c r="A8" s="30" t="inlineStr">
        <is>
          <t>Bonus paid</t>
        </is>
      </c>
      <c r="B8" s="30" t="inlineStr">
        <is>
          <t>TARGET (no automatic cap)</t>
        </is>
      </c>
      <c r="C8" s="30" t="inlineStr">
        <is>
          <t>Pay equals the calculated target. Cap is a soft review threshold only.</t>
        </is>
      </c>
      <c r="D8" s="30" t="inlineStr">
        <is>
          <t>Same for A, B, C.</t>
        </is>
      </c>
    </row>
    <row r="9" ht="26" customHeight="1">
      <c r="A9" s="20" t="inlineStr">
        <is>
          <t>Review threshold (standard)</t>
        </is>
      </c>
      <c r="B9" s="20" t="inlineStr">
        <is>
          <t>40% of safe net</t>
        </is>
      </c>
      <c r="C9" s="20" t="inlineStr">
        <is>
          <t>If monthly target &gt; 40% safe net, ownership reviews. Most months stay below.</t>
        </is>
      </c>
      <c r="D9" s="20" t="inlineStr">
        <is>
          <t>Same for A, B, C.</t>
        </is>
      </c>
    </row>
    <row r="10" ht="26" customHeight="1">
      <c r="A10" s="30" t="inlineStr">
        <is>
          <t>Review threshold (PIF)</t>
        </is>
      </c>
      <c r="B10" s="30" t="inlineStr">
        <is>
          <t>50% of safe net</t>
        </is>
      </c>
      <c r="C10" s="30" t="inlineStr">
        <is>
          <t>Higher because PIF policies collect 100% upfront - less risk.</t>
        </is>
      </c>
      <c r="D10" s="30" t="inlineStr">
        <is>
          <t>Same for A, B, C.</t>
        </is>
      </c>
    </row>
    <row r="11" ht="26" customHeight="1">
      <c r="A11" s="20" t="inlineStr">
        <is>
          <t>Chargeback period (PRIMARY PROTECTION)</t>
        </is>
      </c>
      <c r="B11" s="20" t="inlineStr">
        <is>
          <t>90 days</t>
        </is>
      </c>
      <c r="C11" s="20" t="inlineStr">
        <is>
          <t>Cancel/rewrite reversal window. This is the actual profit shield.</t>
        </is>
      </c>
      <c r="D11" s="20" t="inlineStr">
        <is>
          <t>Matches carrier commission chargeback exposure.</t>
        </is>
      </c>
    </row>
    <row r="12" ht="26" customHeight="1">
      <c r="A12" s="30" t="inlineStr">
        <is>
          <t>Proposal A NB tiers</t>
        </is>
      </c>
      <c r="B12" s="30" t="inlineStr">
        <is>
          <t>$5 / $7 / $9 / $11 / $11+$2/$1k cap $25</t>
        </is>
      </c>
      <c r="C12" s="30" t="inlineStr">
        <is>
          <t>NB pay by written premium.</t>
        </is>
      </c>
      <c r="D12" s="30" t="inlineStr">
        <is>
          <t>See Proposal A sheet for full table.</t>
        </is>
      </c>
    </row>
    <row r="13" ht="26" customHeight="1">
      <c r="A13" s="20" t="inlineStr">
        <is>
          <t>Proposal A REN tiers</t>
        </is>
      </c>
      <c r="B13" s="20" t="inlineStr">
        <is>
          <t>$4 / $5 / $6</t>
        </is>
      </c>
      <c r="C13" s="20" t="inlineStr">
        <is>
          <t>REN pay by written premium.</t>
        </is>
      </c>
      <c r="D13" s="20" t="inlineStr">
        <is>
          <t>See Proposal A sheet.</t>
        </is>
      </c>
    </row>
    <row r="14" ht="26" customHeight="1">
      <c r="A14" s="30" t="inlineStr">
        <is>
          <t>Proposal A RWR</t>
        </is>
      </c>
      <c r="B14" s="30" t="inlineStr">
        <is>
          <t>$2 flat</t>
        </is>
      </c>
      <c r="C14" s="30" t="inlineStr">
        <is>
          <t>No tiers, no kicker stacking.</t>
        </is>
      </c>
      <c r="D14" s="30" t="inlineStr">
        <is>
          <t>Same as Proposal B.</t>
        </is>
      </c>
    </row>
    <row r="15" ht="26" customHeight="1">
      <c r="A15" s="20" t="inlineStr">
        <is>
          <t>Proposal B NB base</t>
        </is>
      </c>
      <c r="B15" s="20" t="inlineStr">
        <is>
          <t>$10 per policy</t>
        </is>
      </c>
      <c r="C15" s="20" t="inlineStr">
        <is>
          <t>PIP/PD or PIP+Comp/Coll.</t>
        </is>
      </c>
      <c r="D15" s="20" t="inlineStr">
        <is>
          <t>See Coverage Bundle Logic.</t>
        </is>
      </c>
    </row>
    <row r="16" ht="26" customHeight="1">
      <c r="A16" s="30" t="inlineStr">
        <is>
          <t>Proposal B NB liability add</t>
        </is>
      </c>
      <c r="B16" s="30" t="inlineStr">
        <is>
          <t>+$5 per policy with BI+UM</t>
        </is>
      </c>
      <c r="C16" s="30" t="inlineStr">
        <is>
          <t>Bundled - UM cannot exist without BI.</t>
        </is>
      </c>
      <c r="D16" s="30" t="inlineStr">
        <is>
          <t>BI alone does not qualify.</t>
        </is>
      </c>
    </row>
    <row r="17" ht="26" customHeight="1">
      <c r="A17" s="20" t="inlineStr">
        <is>
          <t>Proposal B REN base</t>
        </is>
      </c>
      <c r="B17" s="20" t="inlineStr">
        <is>
          <t>$6 per policy</t>
        </is>
      </c>
      <c r="C17" s="20" t="inlineStr">
        <is>
          <t>Same coverage logic, smaller dollar.</t>
        </is>
      </c>
      <c r="D17" s="20" t="inlineStr">
        <is>
          <t>-</t>
        </is>
      </c>
    </row>
    <row r="18" ht="26" customHeight="1">
      <c r="A18" s="30" t="inlineStr">
        <is>
          <t>Proposal B REN liability add</t>
        </is>
      </c>
      <c r="B18" s="30" t="inlineStr">
        <is>
          <t>+$3 per policy with BI+UM</t>
        </is>
      </c>
      <c r="C18" s="30" t="inlineStr">
        <is>
          <t>Same bundle logic on REN.</t>
        </is>
      </c>
      <c r="D18" s="30" t="inlineStr">
        <is>
          <t>-</t>
        </is>
      </c>
    </row>
    <row r="19" ht="26" customHeight="1">
      <c r="A19" s="20" t="inlineStr">
        <is>
          <t>Proposal C NB</t>
        </is>
      </c>
      <c r="B19" s="20" t="inlineStr">
        <is>
          <t>$8 flat</t>
        </is>
      </c>
      <c r="C19" s="20" t="inlineStr">
        <is>
          <t>No tiers, no coverage detail.</t>
        </is>
      </c>
      <c r="D19" s="20" t="inlineStr">
        <is>
          <t>Simplest plan.</t>
        </is>
      </c>
    </row>
    <row r="20" ht="26" customHeight="1">
      <c r="A20" s="30" t="inlineStr">
        <is>
          <t>Proposal C REN</t>
        </is>
      </c>
      <c r="B20" s="30" t="inlineStr">
        <is>
          <t>$8 flat (= NB)</t>
        </is>
      </c>
      <c r="C20" s="30" t="inlineStr">
        <is>
          <t>REN parity is the design choice.</t>
        </is>
      </c>
      <c r="D20" s="30" t="inlineStr">
        <is>
          <t>-</t>
        </is>
      </c>
    </row>
    <row r="21" ht="26" customHeight="1">
      <c r="A21" s="20" t="inlineStr">
        <is>
          <t>Proposal C RWR</t>
        </is>
      </c>
      <c r="B21" s="20" t="inlineStr">
        <is>
          <t>$1 flat</t>
        </is>
      </c>
      <c r="C21" s="20" t="inlineStr">
        <is>
          <t>Active disincentive to rewriting.</t>
        </is>
      </c>
      <c r="D21" s="20" t="inlineStr">
        <is>
          <t>-</t>
        </is>
      </c>
    </row>
    <row r="22" ht="26" customHeight="1">
      <c r="A22" s="30" t="inlineStr">
        <is>
          <t>Collected kicker tiers</t>
        </is>
      </c>
      <c r="B22" s="30" t="inlineStr">
        <is>
          <t>15-24% / 25-49% / 50-99% / 100%</t>
        </is>
      </c>
      <c r="C22" s="30" t="inlineStr">
        <is>
          <t>+10% / +15% / +20% / +25%</t>
        </is>
      </c>
      <c r="D22" s="30" t="inlineStr">
        <is>
          <t>Same across A, B, C.</t>
        </is>
      </c>
    </row>
    <row r="23" ht="26" customHeight="1">
      <c r="A23" s="20" t="inlineStr">
        <is>
          <t>Liability adoption (NB)</t>
        </is>
      </c>
      <c r="B23" s="20" t="inlineStr">
        <is>
          <t>35% of NB</t>
        </is>
      </c>
      <c r="C23" s="20" t="inlineStr">
        <is>
          <t>Estimated share of NB policies that carry BI+UM.</t>
        </is>
      </c>
      <c r="D23" s="20" t="inlineStr">
        <is>
          <t>Used in Proposal B aggregate modeling only. Actual bonus is paid per verified policy.</t>
        </is>
      </c>
    </row>
    <row r="24" ht="26" customHeight="1">
      <c r="A24" s="30" t="inlineStr">
        <is>
          <t>Liability adoption (REN)</t>
        </is>
      </c>
      <c r="B24" s="30" t="inlineStr">
        <is>
          <t>30% of REN</t>
        </is>
      </c>
      <c r="C24" s="30" t="inlineStr">
        <is>
          <t>Estimated share of REN policies that carry BI+UM.</t>
        </is>
      </c>
      <c r="D24" s="30" t="inlineStr">
        <is>
          <t>Same as above.</t>
        </is>
      </c>
    </row>
    <row r="25" ht="26" customHeight="1">
      <c r="A25" s="20" t="inlineStr">
        <is>
          <t>Source data</t>
        </is>
      </c>
      <c r="B25" s="20" t="inlineStr">
        <is>
          <t>agents_nbrwr_pivots_good_.xlsx</t>
        </is>
      </c>
      <c r="C25" s="20" t="inlineStr">
        <is>
          <t>NB / RWR / REN counts and premiums for Jan-Apr 2026.</t>
        </is>
      </c>
      <c r="D25" s="20" t="inlineStr">
        <is>
          <t>6 agents modeled: Abel, Dialinerys, Melissa, Flavia, Thalia, Monica.</t>
        </is>
      </c>
    </row>
    <row r="26" ht="26" customHeight="1">
      <c r="A26" s="30" t="inlineStr">
        <is>
          <t>Swap scenario</t>
        </is>
      </c>
      <c r="B26" s="30" t="inlineStr">
        <is>
          <t>50% RWR to REN</t>
        </is>
      </c>
      <c r="C26" s="30" t="inlineStr">
        <is>
          <t>Reclassifies half of each agent's rewrites as renewals.</t>
        </is>
      </c>
      <c r="D26" s="30" t="inlineStr">
        <is>
          <t>Premium and collected $ stay the same. Shows future-state earnings.</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2026-05-20T18:29:48Z</dcterms:created>
  <dcterms:modified xsi:type="dcterms:W3CDTF">2026-05-20T18:29:49Z</dcterms:modified>
</cp:coreProperties>
</file>