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- START HER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The Bonus Plan" sheetId="3" state="visible" r:id="rId3"/>
    <sheet xmlns:r="http://schemas.openxmlformats.org/officeDocument/2006/relationships" name="NB Bonus Examples" sheetId="4" state="visible" r:id="rId4"/>
    <sheet xmlns:r="http://schemas.openxmlformats.org/officeDocument/2006/relationships" name="RWR Bonus Examples" sheetId="5" state="visible" r:id="rId5"/>
    <sheet xmlns:r="http://schemas.openxmlformats.org/officeDocument/2006/relationships" name="REN Bonus Examples" sheetId="6" state="visible" r:id="rId6"/>
    <sheet xmlns:r="http://schemas.openxmlformats.org/officeDocument/2006/relationships" name="Combined Bonus Examples" sheetId="7" state="visible" r:id="rId7"/>
    <sheet xmlns:r="http://schemas.openxmlformats.org/officeDocument/2006/relationships" name="Current vs New Comparison" sheetId="8" state="visible" r:id="rId8"/>
    <sheet xmlns:r="http://schemas.openxmlformats.org/officeDocument/2006/relationships" name="Chargeback Process" sheetId="9" state="visible" r:id="rId9"/>
    <sheet xmlns:r="http://schemas.openxmlformats.org/officeDocument/2006/relationships" name="Manual Tracker Template" sheetId="10" state="visible" r:id="rId10"/>
    <sheet xmlns:r="http://schemas.openxmlformats.org/officeDocument/2006/relationships" name="Source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9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1"/>
    </font>
    <font>
      <i val="1"/>
      <color rgb="00666666"/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i val="1"/>
      <sz val="11"/>
    </font>
    <font>
      <sz val="11"/>
    </font>
    <font>
      <i val="1"/>
      <color rgb="001F4E78"/>
      <sz val="11"/>
    </font>
    <font>
      <b val="1"/>
      <color rgb="00000000"/>
      <sz val="11"/>
    </font>
    <font>
      <color rgb="00FFFFFF"/>
      <sz val="9"/>
    </font>
    <font>
      <b val="1"/>
      <color rgb="00006100"/>
      <sz val="12"/>
    </font>
    <font>
      <b val="1"/>
      <color rgb="009C0006"/>
      <sz val="12"/>
    </font>
    <font>
      <color rgb="009C9C9C"/>
    </font>
    <font>
      <b val="1"/>
      <color rgb="00006100"/>
    </font>
    <font>
      <color rgb="009C0006"/>
    </font>
    <font>
      <b val="1"/>
      <color rgb="00FFFFFF"/>
      <sz val="13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00B050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6" fillId="6" borderId="0" pivotButton="0" quotePrefix="0" xfId="0"/>
    <xf numFmtId="164" fontId="6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top" wrapText="1"/>
    </xf>
    <xf numFmtId="0" fontId="1" fillId="5" borderId="0" pivotButton="0" quotePrefix="0" xfId="0"/>
    <xf numFmtId="0" fontId="9" fillId="0" borderId="0" pivotButton="0" quotePrefix="0" xfId="0"/>
    <xf numFmtId="0" fontId="0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0" fontId="10" fillId="8" borderId="0" applyAlignment="1" pivotButton="0" quotePrefix="0" xfId="0">
      <alignment horizontal="center" vertical="center"/>
    </xf>
    <xf numFmtId="164" fontId="12" fillId="0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right" vertical="center"/>
    </xf>
    <xf numFmtId="0" fontId="10" fillId="10" borderId="0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164" fontId="15" fillId="5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4" fontId="17" fillId="12" borderId="1" applyAlignment="1" pivotButton="0" quotePrefix="0" xfId="0">
      <alignment horizontal="center" vertical="center"/>
    </xf>
    <xf numFmtId="164" fontId="17" fillId="9" borderId="1" applyAlignment="1" pivotButton="0" quotePrefix="0" xfId="0">
      <alignment horizontal="center" vertical="center"/>
    </xf>
    <xf numFmtId="0" fontId="2" fillId="6" borderId="0" pivotButton="0" quotePrefix="0" xfId="0"/>
    <xf numFmtId="0" fontId="0" fillId="6" borderId="0" pivotButton="0" quotePrefix="0" xfId="0"/>
    <xf numFmtId="164" fontId="17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5" fontId="0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Fiesta Bonus Plan Proposal - START HERE</t>
        </is>
      </c>
    </row>
    <row r="2" ht="30" customHeight="1">
      <c r="A2" s="2" t="inlineStr"/>
      <c r="B2" s="3" t="inlineStr"/>
    </row>
    <row r="3" ht="30" customHeight="1">
      <c r="A3" s="2">
        <f>==== TL;DR =====</f>
        <v/>
      </c>
      <c r="B3" s="3" t="inlineStr"/>
    </row>
    <row r="4" ht="30" customHeight="1">
      <c r="A4" s="2" t="inlineStr">
        <is>
          <t>The problem</t>
        </is>
      </c>
      <c r="B4" s="3" t="inlineStr">
        <is>
          <t>Today's bonus rewards REWRITING customers (counts NB+RWR policies). It pays $0 for renewals - so there's no incentive to keep the book.</t>
        </is>
      </c>
    </row>
    <row r="5" ht="30" customHeight="1">
      <c r="A5" s="2" t="inlineStr">
        <is>
          <t>The new plan</t>
        </is>
      </c>
      <c r="B5" s="3" t="inlineStr">
        <is>
          <t>Same shape as today (5 tiers) but driven by monthly WRITTEN PREMIUM, not policy count. Each line - NB, RWR, REN - has its own tier ladder.</t>
        </is>
      </c>
    </row>
    <row r="6" ht="30" customHeight="1">
      <c r="A6" s="2" t="inlineStr">
        <is>
          <t>Bottom line (4-mo, 6 agents)</t>
        </is>
      </c>
      <c r="B6" s="3" t="inlineStr">
        <is>
          <t>TODAY: $12,220. NEW PLAN: $1,675 if behavior stays the same, $8,375 with 50% renewal shift, $18,475 if all rewrites had been renewals. New plan pays LESS for the wrong behavior and significantly MORE for the right behavior - including the retention kicker that rewards agents who actually retain the book.</t>
        </is>
      </c>
    </row>
    <row r="7" ht="30" customHeight="1">
      <c r="A7" s="2" t="inlineStr">
        <is>
          <t>Recommendation</t>
        </is>
      </c>
      <c r="B7" s="3" t="inlineStr">
        <is>
          <t>Adopt the new plan with the $45,000 NB minimum + 30% retention minimum + 90-day chargeback. Pilot 90 days side-by-side, pay the higher of the two.</t>
        </is>
      </c>
    </row>
    <row r="8" ht="30" customHeight="1">
      <c r="A8" s="2" t="inlineStr"/>
      <c r="B8" s="3" t="inlineStr"/>
    </row>
    <row r="9" ht="30" customHeight="1">
      <c r="A9" s="2">
        <f>==== THE PLAN AT A GLANCE =====</f>
        <v/>
      </c>
      <c r="B9" s="3" t="inlineStr"/>
    </row>
    <row r="10" ht="30" customHeight="1">
      <c r="A10" s="2" t="inlineStr">
        <is>
          <t>NB</t>
        </is>
      </c>
      <c r="B10" s="3" t="inlineStr">
        <is>
          <t>T1 $45k=$250 | T2 $55k=$375 | T3 $70k=$525 | T4 $85k=$725 | T5 $100k=$1,000. Above $100k: +$50 per $5k.</t>
        </is>
      </c>
    </row>
    <row r="11" ht="30" customHeight="1">
      <c r="A11" s="2" t="inlineStr">
        <is>
          <t>RWR</t>
        </is>
      </c>
      <c r="B11" s="3" t="inlineStr">
        <is>
          <t>T1 $45k=$100 | T2 $55k=$200 | T3 $70k=$275 | T4 $85k=$350 | T5 $100k=$500. Above $100k: +$25 per $5k.</t>
        </is>
      </c>
    </row>
    <row r="12" ht="30" customHeight="1">
      <c r="A12" s="2" t="inlineStr">
        <is>
          <t>REN</t>
        </is>
      </c>
      <c r="B12" s="3" t="inlineStr">
        <is>
          <t>T1 $25k=$250 | T2 $40k=$350 | T3 $65k=$450 | T4 $80k=$550 | T5 $100k=$800. Above $100k: +$40 per $5k. PLUS retention kicker: 50-74% retained = +$250, 75-99% = +$500, 100% = +$1,000.</t>
        </is>
      </c>
    </row>
    <row r="13" ht="30" customHeight="1">
      <c r="A13" s="2" t="inlineStr">
        <is>
          <t>Minimum requirements</t>
        </is>
      </c>
      <c r="B13" s="3" t="inlineStr">
        <is>
          <t>NB premium &gt;= $45,000 | Retention rate &gt;= 30% | RWR follows NB gate.</t>
        </is>
      </c>
    </row>
    <row r="14" ht="30" customHeight="1">
      <c r="A14" s="2" t="inlineStr">
        <is>
          <t>90-day chargeback</t>
        </is>
      </c>
      <c r="B14" s="3" t="inlineStr">
        <is>
          <t>100% of paid bonus is reversed if the policy cancels or rewrites within 90 days of effective date.</t>
        </is>
      </c>
    </row>
    <row r="15" ht="30" customHeight="1">
      <c r="A15" s="2" t="inlineStr">
        <is>
          <t>Manual tracker</t>
        </is>
      </c>
      <c r="B15" s="3" t="inlineStr">
        <is>
          <t>Required for every policy. No tracker entry = no bonus on that policy.</t>
        </is>
      </c>
    </row>
    <row r="16" ht="30" customHeight="1">
      <c r="A16" s="2" t="inlineStr"/>
      <c r="B16" s="3" t="inlineStr"/>
    </row>
    <row r="17" ht="30" customHeight="1">
      <c r="A17" s="2">
        <f>==== GLOSSARY =====</f>
        <v/>
      </c>
      <c r="B17" s="3" t="inlineStr"/>
    </row>
    <row r="18" ht="30" customHeight="1">
      <c r="A18" s="2" t="inlineStr">
        <is>
          <t>NB</t>
        </is>
      </c>
      <c r="B18" s="3" t="inlineStr">
        <is>
          <t>NEW BUSINESS - first time the customer is on the books.</t>
        </is>
      </c>
    </row>
    <row r="19" ht="30" customHeight="1">
      <c r="A19" s="2" t="inlineStr">
        <is>
          <t>RWR</t>
        </is>
      </c>
      <c r="B19" s="3" t="inlineStr">
        <is>
          <t>REWRITE - cancel an existing policy, write a new one. Churns the book.</t>
        </is>
      </c>
    </row>
    <row r="20" ht="30" customHeight="1">
      <c r="A20" s="2" t="inlineStr">
        <is>
          <t>REN</t>
        </is>
      </c>
      <c r="B20" s="3" t="inlineStr">
        <is>
          <t>RENEWAL - existing policy renews at the same carrier. Customer stays.</t>
        </is>
      </c>
    </row>
    <row r="21" ht="30" customHeight="1">
      <c r="A21" s="2" t="inlineStr">
        <is>
          <t>Retention rate</t>
        </is>
      </c>
      <c r="B21" s="3" t="inlineStr">
        <is>
          <t>Of the policies up for renewal this month, the % that renewed.</t>
        </is>
      </c>
    </row>
    <row r="22" ht="30" customHeight="1">
      <c r="A22" s="2" t="inlineStr">
        <is>
          <t>Written premium</t>
        </is>
      </c>
      <c r="B22" s="3" t="inlineStr">
        <is>
          <t>Total cost of the policy for the 6-month term.</t>
        </is>
      </c>
    </row>
    <row r="23" ht="30" customHeight="1">
      <c r="A23" s="2" t="inlineStr">
        <is>
          <t>FLIP scenario</t>
        </is>
      </c>
      <c r="B23" s="3" t="inlineStr">
        <is>
          <t>"What if all rewrites had been renewals?" Strongest behavior-change test.</t>
        </is>
      </c>
    </row>
    <row r="24" ht="30" customHeight="1">
      <c r="A24" s="2" t="inlineStr">
        <is>
          <t>SWAP scenario</t>
        </is>
      </c>
      <c r="B24" s="3" t="inlineStr">
        <is>
          <t>"What if half the rewrites became renewals?" Realistic transition target.</t>
        </is>
      </c>
    </row>
    <row r="25" ht="30" customHeight="1">
      <c r="A25" s="2" t="inlineStr"/>
      <c r="B25" s="3" t="inlineStr"/>
    </row>
    <row r="26" ht="30" customHeight="1">
      <c r="A26" s="2">
        <f>==== SHEET MAP =====</f>
        <v/>
      </c>
      <c r="B26" s="3" t="inlineStr"/>
    </row>
    <row r="27" ht="30" customHeight="1">
      <c r="A27" s="2" t="inlineStr">
        <is>
          <t xml:space="preserve">  1. Executive Summary</t>
        </is>
      </c>
      <c r="B27" s="3" t="inlineStr">
        <is>
          <t>Bottom-line numbers and per-agent rows.</t>
        </is>
      </c>
    </row>
    <row r="28" ht="30" customHeight="1">
      <c r="A28" s="2" t="inlineStr">
        <is>
          <t xml:space="preserve">  2. The Bonus Plan</t>
        </is>
      </c>
      <c r="B28" s="3" t="inlineStr">
        <is>
          <t>Full plan rules: tier ladders, minimums, chargeback, worked example.</t>
        </is>
      </c>
    </row>
    <row r="29" ht="30" customHeight="1">
      <c r="A29" s="2" t="inlineStr">
        <is>
          <t xml:space="preserve">  3. NB Bonus Examples</t>
        </is>
      </c>
      <c r="B29" s="3" t="inlineStr">
        <is>
          <t>Who hits which NB tier under each scenario. Sorted by premium with a progress bar.</t>
        </is>
      </c>
    </row>
    <row r="30" ht="30" customHeight="1">
      <c r="A30" s="2" t="inlineStr">
        <is>
          <t xml:space="preserve">  4. RWR Bonus Examples</t>
        </is>
      </c>
      <c r="B30" s="3" t="inlineStr">
        <is>
          <t>Same view for the RWR ladder.</t>
        </is>
      </c>
    </row>
    <row r="31" ht="30" customHeight="1">
      <c r="A31" s="2" t="inlineStr">
        <is>
          <t xml:space="preserve">  5. REN Bonus Examples</t>
        </is>
      </c>
      <c r="B31" s="3" t="inlineStr">
        <is>
          <t>Same view for the REN ladder.</t>
        </is>
      </c>
    </row>
    <row r="32" ht="30" customHeight="1">
      <c r="A32" s="2" t="inlineStr">
        <is>
          <t xml:space="preserve">  6. Combined Bonus Examples</t>
        </is>
      </c>
      <c r="B32" s="3" t="inlineStr">
        <is>
          <t>NB + RWR + REN side-by-side with the TOTAL BONUS per agent-month.</t>
        </is>
      </c>
    </row>
    <row r="33" ht="30" customHeight="1">
      <c r="A33" s="2" t="inlineStr">
        <is>
          <t xml:space="preserve">  7. Current vs New Comparison</t>
        </is>
      </c>
      <c r="B33" s="3" t="inlineStr">
        <is>
          <t>Today's plan vs the new plan per agent-month, with the DELTA (who wins / who loses).</t>
        </is>
      </c>
    </row>
    <row r="34" ht="30" customHeight="1">
      <c r="A34" s="2" t="inlineStr">
        <is>
          <t xml:space="preserve">  8. Chargeback Process</t>
        </is>
      </c>
      <c r="B34" s="3" t="inlineStr">
        <is>
          <t>Step-by-step 90-day reversal procedure.</t>
        </is>
      </c>
    </row>
    <row r="35" ht="30" customHeight="1">
      <c r="A35" s="2" t="inlineStr">
        <is>
          <t xml:space="preserve">  9. Manual Tracker Template</t>
        </is>
      </c>
      <c r="B35" s="3" t="inlineStr">
        <is>
          <t>Monthly template for verified bonus tracking.</t>
        </is>
      </c>
    </row>
    <row r="36" ht="30" customHeight="1">
      <c r="A36" s="2" t="inlineStr">
        <is>
          <t xml:space="preserve">  10. Source Data</t>
        </is>
      </c>
      <c r="B36" s="3" t="inlineStr">
        <is>
          <t>Raw NB/RWR/REN volumes from Jan-Apr 2026.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10" customWidth="1" min="4" max="4"/>
    <col width="7" customWidth="1" min="5" max="5"/>
    <col width="10" customWidth="1" min="6" max="6"/>
    <col width="7" customWidth="1" min="7" max="7"/>
    <col width="10" customWidth="1" min="8" max="8"/>
    <col width="10" customWidth="1" min="9" max="9"/>
    <col width="11" customWidth="1" min="10" max="10"/>
    <col width="12" customWidth="1" min="11" max="11"/>
    <col width="10" customWidth="1" min="12" max="12"/>
  </cols>
  <sheetData>
    <row r="1">
      <c r="A1" s="1" t="inlineStr">
        <is>
          <t>Executive Summary - Current Plan vs The Bonus Plan</t>
        </is>
      </c>
    </row>
    <row r="2">
      <c r="A2" s="4" t="inlineStr">
        <is>
          <t>Six agents (Abel, Dialinerys, Melissa, Flavia, Thalia, Monica) over four months (Jan-Apr 2026). Each plan is shown two ways: WITHOUT minimums (calculated target) and WITH the recommended minimums (NB premium &gt;= $45,000/mo; REN gated by retention (model assumes 75% &gt;= 30% threshold); RWR gated by NB).</t>
        </is>
      </c>
    </row>
    <row r="4">
      <c r="A4" s="5" t="inlineStr">
        <is>
          <t>HEADLINE - 4-MONTH TOTALS ACROSS 3 SCENARIOS (6 agents)</t>
        </is>
      </c>
    </row>
    <row r="5">
      <c r="A5" s="6" t="inlineStr">
        <is>
          <t>Plan</t>
        </is>
      </c>
      <c r="B5" s="6" t="inlineStr">
        <is>
          <t>REAL (today)</t>
        </is>
      </c>
      <c r="C5" s="6" t="inlineStr">
        <is>
          <t>50% SWAP (RWR-&gt;REN)</t>
        </is>
      </c>
      <c r="D5" s="6" t="inlineStr">
        <is>
          <t>100% FLIP (RWR&lt;-&gt;REN)</t>
        </is>
      </c>
      <c r="E5" s="6" t="inlineStr">
        <is>
          <t>Read</t>
        </is>
      </c>
    </row>
    <row r="6" ht="30" customHeight="1">
      <c r="A6" s="7" t="inlineStr">
        <is>
          <t>Current plan (today)</t>
        </is>
      </c>
      <c r="B6" s="8" t="n">
        <v>12220</v>
      </c>
      <c r="C6" s="8" t="n">
        <v>7110</v>
      </c>
      <c r="D6" s="8" t="n">
        <v>2750</v>
      </c>
      <c r="E6" s="9" t="inlineStr">
        <is>
          <t>DROPS hard - the current plan only counts NB+RWR, so any shift toward REN cuts the bonus.</t>
        </is>
      </c>
    </row>
    <row r="7" ht="30" customHeight="1">
      <c r="A7" s="10" t="inlineStr">
        <is>
          <t>The Bonus Plan - no minimum</t>
        </is>
      </c>
      <c r="B7" s="11" t="n">
        <v>2925</v>
      </c>
      <c r="C7" s="11" t="n">
        <v>8375</v>
      </c>
      <c r="D7" s="11" t="n">
        <v>18475</v>
      </c>
      <c r="E7" s="12" t="inlineStr">
        <is>
          <t>The calculated target before applying minimums.</t>
        </is>
      </c>
    </row>
    <row r="8" ht="30" customHeight="1">
      <c r="A8" s="10" t="inlineStr">
        <is>
          <t>The Bonus Plan WITH MIN (RECOMMENDED)</t>
        </is>
      </c>
      <c r="B8" s="11" t="n">
        <v>1675</v>
      </c>
      <c r="C8" s="11" t="n">
        <v>8375</v>
      </c>
      <c r="D8" s="11" t="n">
        <v>18475</v>
      </c>
      <c r="E8" s="12" t="inlineStr">
        <is>
          <t>$45,000 NB premium + 30% retention gates. RWR follows NB gate.</t>
        </is>
      </c>
    </row>
    <row r="10" ht="38" customHeight="1">
      <c r="A10" s="13" t="inlineStr">
        <is>
          <t>READ: Current plan drops in swap because it only rewards NB+RWR count. New plans grow in swap because they pay for renewals. WITH MIN totals are smaller because no agent has $50k of REN premium today - until the renewal book is built, the gate stays closed. That is the design: 'no bonus until you cover yourself.'</t>
        </is>
      </c>
    </row>
    <row r="12">
      <c r="A12" s="5" t="inlineStr">
        <is>
          <t>SCENARIO 1: REAL DATA (Jan-Apr 2026)</t>
        </is>
      </c>
    </row>
    <row r="13">
      <c r="A13" s="6" t="inlineStr">
        <is>
          <t>Month</t>
        </is>
      </c>
      <c r="B13" s="6" t="inlineStr">
        <is>
          <t>Agent</t>
        </is>
      </c>
      <c r="C13" s="6" t="inlineStr">
        <is>
          <t>NB #</t>
        </is>
      </c>
      <c r="D13" s="6" t="inlineStr">
        <is>
          <t>NB $</t>
        </is>
      </c>
      <c r="E13" s="6" t="inlineStr">
        <is>
          <t>RWR #</t>
        </is>
      </c>
      <c r="F13" s="6" t="inlineStr">
        <is>
          <t>RWR $</t>
        </is>
      </c>
      <c r="G13" s="6" t="inlineStr">
        <is>
          <t>REN #</t>
        </is>
      </c>
      <c r="H13" s="6" t="inlineStr">
        <is>
          <t>REN $</t>
        </is>
      </c>
      <c r="I13" s="6" t="inlineStr">
        <is>
          <t>Current</t>
        </is>
      </c>
      <c r="J13" s="6" t="inlineStr">
        <is>
          <t>Plan no-min</t>
        </is>
      </c>
      <c r="K13" s="6" t="inlineStr">
        <is>
          <t>Plan WITH MIN</t>
        </is>
      </c>
      <c r="L13" s="6" t="inlineStr">
        <is>
          <t>vs Current</t>
        </is>
      </c>
    </row>
    <row r="14">
      <c r="A14" s="14" t="inlineStr">
        <is>
          <t>January</t>
        </is>
      </c>
      <c r="B14" s="14" t="inlineStr">
        <is>
          <t>Abel Guaina</t>
        </is>
      </c>
      <c r="C14" s="15" t="n">
        <v>25</v>
      </c>
      <c r="D14" s="16" t="n">
        <v>38611.42</v>
      </c>
      <c r="E14" s="15" t="n">
        <v>17</v>
      </c>
      <c r="F14" s="16" t="n">
        <v>27518.5</v>
      </c>
      <c r="G14" s="15" t="n">
        <v>9</v>
      </c>
      <c r="H14" s="16" t="n">
        <v>7605</v>
      </c>
      <c r="I14" s="16" t="n">
        <v>350</v>
      </c>
      <c r="J14" s="11" t="n">
        <v>0</v>
      </c>
      <c r="K14" s="17" t="n">
        <v>0</v>
      </c>
      <c r="L14" s="16" t="n">
        <v>-350</v>
      </c>
    </row>
    <row r="15">
      <c r="A15" s="14" t="inlineStr">
        <is>
          <t>January</t>
        </is>
      </c>
      <c r="B15" s="14" t="inlineStr">
        <is>
          <t>Dialinerys Dieguez</t>
        </is>
      </c>
      <c r="C15" s="15" t="n">
        <v>23</v>
      </c>
      <c r="D15" s="16" t="n">
        <v>40249.26</v>
      </c>
      <c r="E15" s="15" t="n">
        <v>48</v>
      </c>
      <c r="F15" s="16" t="n">
        <v>65675.38</v>
      </c>
      <c r="G15" s="15" t="n">
        <v>11</v>
      </c>
      <c r="H15" s="16" t="n">
        <v>12530.47</v>
      </c>
      <c r="I15" s="16" t="n">
        <v>660</v>
      </c>
      <c r="J15" s="11" t="n">
        <v>200</v>
      </c>
      <c r="K15" s="17" t="n">
        <v>0</v>
      </c>
      <c r="L15" s="16" t="n">
        <v>-660</v>
      </c>
    </row>
    <row r="16">
      <c r="A16" s="14" t="inlineStr">
        <is>
          <t>January</t>
        </is>
      </c>
      <c r="B16" s="14" t="inlineStr">
        <is>
          <t>Melissa Hernandez</t>
        </is>
      </c>
      <c r="C16" s="15" t="n">
        <v>31</v>
      </c>
      <c r="D16" s="16" t="n">
        <v>37039</v>
      </c>
      <c r="E16" s="15" t="n">
        <v>48</v>
      </c>
      <c r="F16" s="16" t="n">
        <v>63374.5</v>
      </c>
      <c r="G16" s="15" t="n">
        <v>0</v>
      </c>
      <c r="H16" s="16" t="n">
        <v>0</v>
      </c>
      <c r="I16" s="16" t="n">
        <v>740</v>
      </c>
      <c r="J16" s="11" t="n">
        <v>200</v>
      </c>
      <c r="K16" s="17" t="n">
        <v>0</v>
      </c>
      <c r="L16" s="16" t="n">
        <v>-740</v>
      </c>
    </row>
    <row r="17">
      <c r="A17" s="14" t="inlineStr">
        <is>
          <t>January</t>
        </is>
      </c>
      <c r="B17" s="14" t="inlineStr">
        <is>
          <t>Flavia Parra</t>
        </is>
      </c>
      <c r="C17" s="15" t="n">
        <v>19</v>
      </c>
      <c r="D17" s="16" t="n">
        <v>28525.05</v>
      </c>
      <c r="E17" s="15" t="n">
        <v>35</v>
      </c>
      <c r="F17" s="16" t="n">
        <v>39558.05</v>
      </c>
      <c r="G17" s="15" t="n">
        <v>1</v>
      </c>
      <c r="H17" s="16" t="n">
        <v>1464.35</v>
      </c>
      <c r="I17" s="16" t="n">
        <v>490</v>
      </c>
      <c r="J17" s="11" t="n">
        <v>0</v>
      </c>
      <c r="K17" s="17" t="n">
        <v>0</v>
      </c>
      <c r="L17" s="16" t="n">
        <v>-490</v>
      </c>
    </row>
    <row r="18">
      <c r="A18" s="14" t="inlineStr">
        <is>
          <t>January</t>
        </is>
      </c>
      <c r="B18" s="14" t="inlineStr">
        <is>
          <t>Thalia Rojas</t>
        </is>
      </c>
      <c r="C18" s="15" t="n">
        <v>10</v>
      </c>
      <c r="D18" s="16" t="n">
        <v>15503.9</v>
      </c>
      <c r="E18" s="15" t="n">
        <v>28</v>
      </c>
      <c r="F18" s="16" t="n">
        <v>33083.93</v>
      </c>
      <c r="G18" s="15" t="n">
        <v>4</v>
      </c>
      <c r="H18" s="16" t="n">
        <v>3690</v>
      </c>
      <c r="I18" s="16" t="n">
        <v>350</v>
      </c>
      <c r="J18" s="11" t="n">
        <v>0</v>
      </c>
      <c r="K18" s="17" t="n">
        <v>0</v>
      </c>
      <c r="L18" s="16" t="n">
        <v>-350</v>
      </c>
    </row>
    <row r="19">
      <c r="A19" s="14" t="inlineStr">
        <is>
          <t>January</t>
        </is>
      </c>
      <c r="B19" s="14" t="inlineStr">
        <is>
          <t>Monica Valdes</t>
        </is>
      </c>
      <c r="C19" s="15" t="n">
        <v>23</v>
      </c>
      <c r="D19" s="16" t="n">
        <v>28605.29</v>
      </c>
      <c r="E19" s="15" t="n">
        <v>37</v>
      </c>
      <c r="F19" s="16" t="n">
        <v>48612.96</v>
      </c>
      <c r="G19" s="15" t="n">
        <v>6</v>
      </c>
      <c r="H19" s="16" t="n">
        <v>6502.91</v>
      </c>
      <c r="I19" s="16" t="n">
        <v>550</v>
      </c>
      <c r="J19" s="11" t="n">
        <v>100</v>
      </c>
      <c r="K19" s="17" t="n">
        <v>0</v>
      </c>
      <c r="L19" s="16" t="n">
        <v>-550</v>
      </c>
    </row>
    <row r="20">
      <c r="A20" s="14" t="inlineStr">
        <is>
          <t>February</t>
        </is>
      </c>
      <c r="B20" s="14" t="inlineStr">
        <is>
          <t>Abel Guaina</t>
        </is>
      </c>
      <c r="C20" s="15" t="n">
        <v>13</v>
      </c>
      <c r="D20" s="16" t="n">
        <v>25367</v>
      </c>
      <c r="E20" s="15" t="n">
        <v>19</v>
      </c>
      <c r="F20" s="16" t="n">
        <v>30643</v>
      </c>
      <c r="G20" s="15" t="n">
        <v>7</v>
      </c>
      <c r="H20" s="16" t="n">
        <v>7517</v>
      </c>
      <c r="I20" s="16" t="n">
        <v>250</v>
      </c>
      <c r="J20" s="11" t="n">
        <v>0</v>
      </c>
      <c r="K20" s="17" t="n">
        <v>0</v>
      </c>
      <c r="L20" s="16" t="n">
        <v>-250</v>
      </c>
    </row>
    <row r="21">
      <c r="A21" s="14" t="inlineStr">
        <is>
          <t>February</t>
        </is>
      </c>
      <c r="B21" s="14" t="inlineStr">
        <is>
          <t>Dialinerys Dieguez</t>
        </is>
      </c>
      <c r="C21" s="15" t="n">
        <v>23</v>
      </c>
      <c r="D21" s="16" t="n">
        <v>30057.89</v>
      </c>
      <c r="E21" s="15" t="n">
        <v>56</v>
      </c>
      <c r="F21" s="16" t="n">
        <v>85544.60000000001</v>
      </c>
      <c r="G21" s="15" t="n">
        <v>9</v>
      </c>
      <c r="H21" s="16" t="n">
        <v>11629.68</v>
      </c>
      <c r="I21" s="16" t="n">
        <v>740</v>
      </c>
      <c r="J21" s="11" t="n">
        <v>350</v>
      </c>
      <c r="K21" s="17" t="n">
        <v>0</v>
      </c>
      <c r="L21" s="16" t="n">
        <v>-740</v>
      </c>
    </row>
    <row r="22">
      <c r="A22" s="14" t="inlineStr">
        <is>
          <t>February</t>
        </is>
      </c>
      <c r="B22" s="14" t="inlineStr">
        <is>
          <t>Melissa Hernandez</t>
        </is>
      </c>
      <c r="C22" s="15" t="n">
        <v>13</v>
      </c>
      <c r="D22" s="16" t="n">
        <v>7659.5</v>
      </c>
      <c r="E22" s="15" t="n">
        <v>37</v>
      </c>
      <c r="F22" s="16" t="n">
        <v>49990.7</v>
      </c>
      <c r="G22" s="15" t="n">
        <v>1</v>
      </c>
      <c r="H22" s="16" t="n">
        <v>1063</v>
      </c>
      <c r="I22" s="16" t="n">
        <v>450</v>
      </c>
      <c r="J22" s="11" t="n">
        <v>100</v>
      </c>
      <c r="K22" s="17" t="n">
        <v>0</v>
      </c>
      <c r="L22" s="16" t="n">
        <v>-450</v>
      </c>
    </row>
    <row r="23">
      <c r="A23" s="14" t="inlineStr">
        <is>
          <t>February</t>
        </is>
      </c>
      <c r="B23" s="14" t="inlineStr">
        <is>
          <t>Flavia Parra</t>
        </is>
      </c>
      <c r="C23" s="15" t="n">
        <v>23</v>
      </c>
      <c r="D23" s="16" t="n">
        <v>22247.7</v>
      </c>
      <c r="E23" s="15" t="n">
        <v>42</v>
      </c>
      <c r="F23" s="16" t="n">
        <v>43687.45</v>
      </c>
      <c r="G23" s="15" t="n">
        <v>2</v>
      </c>
      <c r="H23" s="16" t="n">
        <v>2099</v>
      </c>
      <c r="I23" s="16" t="n">
        <v>600</v>
      </c>
      <c r="J23" s="11" t="n">
        <v>0</v>
      </c>
      <c r="K23" s="17" t="n">
        <v>0</v>
      </c>
      <c r="L23" s="16" t="n">
        <v>-600</v>
      </c>
    </row>
    <row r="24">
      <c r="A24" s="14" t="inlineStr">
        <is>
          <t>February</t>
        </is>
      </c>
      <c r="B24" s="14" t="inlineStr">
        <is>
          <t>Thalia Rojas</t>
        </is>
      </c>
      <c r="C24" s="15" t="n">
        <v>14</v>
      </c>
      <c r="D24" s="16" t="n">
        <v>19414.25</v>
      </c>
      <c r="E24" s="15" t="n">
        <v>24</v>
      </c>
      <c r="F24" s="16" t="n">
        <v>28298.16</v>
      </c>
      <c r="G24" s="15" t="n">
        <v>5</v>
      </c>
      <c r="H24" s="16" t="n">
        <v>7446</v>
      </c>
      <c r="I24" s="16" t="n">
        <v>350</v>
      </c>
      <c r="J24" s="11" t="n">
        <v>0</v>
      </c>
      <c r="K24" s="17" t="n">
        <v>0</v>
      </c>
      <c r="L24" s="16" t="n">
        <v>-350</v>
      </c>
    </row>
    <row r="25">
      <c r="A25" s="14" t="inlineStr">
        <is>
          <t>February</t>
        </is>
      </c>
      <c r="B25" s="14" t="inlineStr">
        <is>
          <t>Monica Valdes</t>
        </is>
      </c>
      <c r="C25" s="15" t="n">
        <v>21</v>
      </c>
      <c r="D25" s="16" t="n">
        <v>31516.95</v>
      </c>
      <c r="E25" s="15" t="n">
        <v>29</v>
      </c>
      <c r="F25" s="16" t="n">
        <v>47228.18</v>
      </c>
      <c r="G25" s="15" t="n">
        <v>2</v>
      </c>
      <c r="H25" s="16" t="n">
        <v>3092</v>
      </c>
      <c r="I25" s="16" t="n">
        <v>450</v>
      </c>
      <c r="J25" s="11" t="n">
        <v>100</v>
      </c>
      <c r="K25" s="17" t="n">
        <v>0</v>
      </c>
      <c r="L25" s="16" t="n">
        <v>-450</v>
      </c>
    </row>
    <row r="26">
      <c r="A26" s="14" t="inlineStr">
        <is>
          <t>March</t>
        </is>
      </c>
      <c r="B26" s="14" t="inlineStr">
        <is>
          <t>Abel Guaina</t>
        </is>
      </c>
      <c r="C26" s="15" t="n">
        <v>30</v>
      </c>
      <c r="D26" s="16" t="n">
        <v>46523.37</v>
      </c>
      <c r="E26" s="15" t="n">
        <v>17</v>
      </c>
      <c r="F26" s="16" t="n">
        <v>25227.6</v>
      </c>
      <c r="G26" s="15" t="n">
        <v>5</v>
      </c>
      <c r="H26" s="16" t="n">
        <v>3901</v>
      </c>
      <c r="I26" s="16" t="n">
        <v>350</v>
      </c>
      <c r="J26" s="11" t="n">
        <v>250</v>
      </c>
      <c r="K26" s="17" t="n">
        <v>250</v>
      </c>
      <c r="L26" s="16" t="n">
        <v>-100</v>
      </c>
    </row>
    <row r="27">
      <c r="A27" s="14" t="inlineStr">
        <is>
          <t>March</t>
        </is>
      </c>
      <c r="B27" s="14" t="inlineStr">
        <is>
          <t>Dialinerys Dieguez</t>
        </is>
      </c>
      <c r="C27" s="15" t="n">
        <v>38</v>
      </c>
      <c r="D27" s="16" t="n">
        <v>52434.9</v>
      </c>
      <c r="E27" s="15" t="n">
        <v>69</v>
      </c>
      <c r="F27" s="16" t="n">
        <v>96228.35000000001</v>
      </c>
      <c r="G27" s="15" t="n">
        <v>7</v>
      </c>
      <c r="H27" s="16" t="n">
        <v>5962.5</v>
      </c>
      <c r="I27" s="16" t="n">
        <v>1020</v>
      </c>
      <c r="J27" s="11" t="n">
        <v>600</v>
      </c>
      <c r="K27" s="17" t="n">
        <v>600</v>
      </c>
      <c r="L27" s="16" t="n">
        <v>-420</v>
      </c>
    </row>
    <row r="28">
      <c r="A28" s="14" t="inlineStr">
        <is>
          <t>March</t>
        </is>
      </c>
      <c r="B28" s="14" t="inlineStr">
        <is>
          <t>Melissa Hernandez</t>
        </is>
      </c>
      <c r="C28" s="15" t="n">
        <v>28</v>
      </c>
      <c r="D28" s="16" t="n">
        <v>39759.7</v>
      </c>
      <c r="E28" s="15" t="n">
        <v>48</v>
      </c>
      <c r="F28" s="16" t="n">
        <v>56860.6</v>
      </c>
      <c r="G28" s="15" t="n">
        <v>1</v>
      </c>
      <c r="H28" s="16" t="n">
        <v>1034</v>
      </c>
      <c r="I28" s="16" t="n">
        <v>710</v>
      </c>
      <c r="J28" s="11" t="n">
        <v>200</v>
      </c>
      <c r="K28" s="17" t="n">
        <v>0</v>
      </c>
      <c r="L28" s="16" t="n">
        <v>-710</v>
      </c>
    </row>
    <row r="29">
      <c r="A29" s="14" t="inlineStr">
        <is>
          <t>March</t>
        </is>
      </c>
      <c r="B29" s="14" t="inlineStr">
        <is>
          <t>Flavia Parra</t>
        </is>
      </c>
      <c r="C29" s="15" t="n">
        <v>27</v>
      </c>
      <c r="D29" s="16" t="n">
        <v>31269</v>
      </c>
      <c r="E29" s="15" t="n">
        <v>27</v>
      </c>
      <c r="F29" s="16" t="n">
        <v>23526.7</v>
      </c>
      <c r="G29" s="15" t="n">
        <v>0</v>
      </c>
      <c r="H29" s="16" t="n">
        <v>0</v>
      </c>
      <c r="I29" s="16" t="n">
        <v>490</v>
      </c>
      <c r="J29" s="11" t="n">
        <v>0</v>
      </c>
      <c r="K29" s="17" t="n">
        <v>0</v>
      </c>
      <c r="L29" s="16" t="n">
        <v>-490</v>
      </c>
    </row>
    <row r="30">
      <c r="A30" s="14" t="inlineStr">
        <is>
          <t>March</t>
        </is>
      </c>
      <c r="B30" s="14" t="inlineStr">
        <is>
          <t>Thalia Rojas</t>
        </is>
      </c>
      <c r="C30" s="15" t="n">
        <v>19</v>
      </c>
      <c r="D30" s="16" t="n">
        <v>17843.69</v>
      </c>
      <c r="E30" s="15" t="n">
        <v>19</v>
      </c>
      <c r="F30" s="16" t="n">
        <v>19840.85</v>
      </c>
      <c r="G30" s="15" t="n">
        <v>6</v>
      </c>
      <c r="H30" s="16" t="n">
        <v>5643.9</v>
      </c>
      <c r="I30" s="16" t="n">
        <v>350</v>
      </c>
      <c r="J30" s="11" t="n">
        <v>0</v>
      </c>
      <c r="K30" s="17" t="n">
        <v>0</v>
      </c>
      <c r="L30" s="16" t="n">
        <v>-350</v>
      </c>
    </row>
    <row r="31">
      <c r="A31" s="14" t="inlineStr">
        <is>
          <t>March</t>
        </is>
      </c>
      <c r="B31" s="14" t="inlineStr">
        <is>
          <t>Monica Valdes</t>
        </is>
      </c>
      <c r="C31" s="15" t="n">
        <v>36</v>
      </c>
      <c r="D31" s="16" t="n">
        <v>68546.22</v>
      </c>
      <c r="E31" s="15" t="n">
        <v>28</v>
      </c>
      <c r="F31" s="16" t="n">
        <v>39254.65</v>
      </c>
      <c r="G31" s="15" t="n">
        <v>0</v>
      </c>
      <c r="H31" s="16" t="n">
        <v>0</v>
      </c>
      <c r="I31" s="16" t="n">
        <v>590</v>
      </c>
      <c r="J31" s="11" t="n">
        <v>375</v>
      </c>
      <c r="K31" s="17" t="n">
        <v>375</v>
      </c>
      <c r="L31" s="16" t="n">
        <v>-215</v>
      </c>
    </row>
    <row r="32">
      <c r="A32" s="14" t="inlineStr">
        <is>
          <t>April</t>
        </is>
      </c>
      <c r="B32" s="14" t="inlineStr">
        <is>
          <t>Abel Guaina</t>
        </is>
      </c>
      <c r="C32" s="15" t="n">
        <v>27</v>
      </c>
      <c r="D32" s="16" t="n">
        <v>37825.93</v>
      </c>
      <c r="E32" s="15" t="n">
        <v>15</v>
      </c>
      <c r="F32" s="16" t="n">
        <v>15361.95</v>
      </c>
      <c r="G32" s="15" t="n">
        <v>13</v>
      </c>
      <c r="H32" s="16" t="n">
        <v>10935.99</v>
      </c>
      <c r="I32" s="16" t="n">
        <v>350</v>
      </c>
      <c r="J32" s="11" t="n">
        <v>0</v>
      </c>
      <c r="K32" s="17" t="n">
        <v>0</v>
      </c>
      <c r="L32" s="16" t="n">
        <v>-350</v>
      </c>
    </row>
    <row r="33">
      <c r="A33" s="14" t="inlineStr">
        <is>
          <t>April</t>
        </is>
      </c>
      <c r="B33" s="14" t="inlineStr">
        <is>
          <t>Dialinerys Dieguez</t>
        </is>
      </c>
      <c r="C33" s="15" t="n">
        <v>33</v>
      </c>
      <c r="D33" s="16" t="n">
        <v>49689.35</v>
      </c>
      <c r="E33" s="15" t="n">
        <v>44</v>
      </c>
      <c r="F33" s="16" t="n">
        <v>64165.43</v>
      </c>
      <c r="G33" s="15" t="n">
        <v>2</v>
      </c>
      <c r="H33" s="16" t="n">
        <v>19575</v>
      </c>
      <c r="I33" s="16" t="n">
        <v>720</v>
      </c>
      <c r="J33" s="11" t="n">
        <v>450</v>
      </c>
      <c r="K33" s="17" t="n">
        <v>450</v>
      </c>
      <c r="L33" s="16" t="n">
        <v>-270</v>
      </c>
    </row>
    <row r="34">
      <c r="A34" s="14" t="inlineStr">
        <is>
          <t>April</t>
        </is>
      </c>
      <c r="B34" s="14" t="inlineStr">
        <is>
          <t>Melissa Hernandez</t>
        </is>
      </c>
      <c r="C34" s="15" t="n">
        <v>15</v>
      </c>
      <c r="D34" s="16" t="n">
        <v>19288.35</v>
      </c>
      <c r="E34" s="15" t="n">
        <v>37</v>
      </c>
      <c r="F34" s="16" t="n">
        <v>43396.2</v>
      </c>
      <c r="G34" s="15" t="n">
        <v>0</v>
      </c>
      <c r="H34" s="16" t="n">
        <v>0</v>
      </c>
      <c r="I34" s="16" t="n">
        <v>470</v>
      </c>
      <c r="J34" s="11" t="n">
        <v>0</v>
      </c>
      <c r="K34" s="17" t="n">
        <v>0</v>
      </c>
      <c r="L34" s="16" t="n">
        <v>-470</v>
      </c>
    </row>
    <row r="35">
      <c r="A35" s="14" t="inlineStr">
        <is>
          <t>April</t>
        </is>
      </c>
      <c r="B35" s="14" t="inlineStr">
        <is>
          <t>Flavia Parra</t>
        </is>
      </c>
      <c r="C35" s="15" t="n">
        <v>23</v>
      </c>
      <c r="D35" s="16" t="n">
        <v>29581.05</v>
      </c>
      <c r="E35" s="15" t="n">
        <v>31</v>
      </c>
      <c r="F35" s="16" t="n">
        <v>30832.76</v>
      </c>
      <c r="G35" s="15" t="n">
        <v>1</v>
      </c>
      <c r="H35" s="16" t="n">
        <v>885</v>
      </c>
      <c r="I35" s="16" t="n">
        <v>490</v>
      </c>
      <c r="J35" s="11" t="n">
        <v>0</v>
      </c>
      <c r="K35" s="17" t="n">
        <v>0</v>
      </c>
      <c r="L35" s="16" t="n">
        <v>-490</v>
      </c>
    </row>
    <row r="36">
      <c r="A36" s="14" t="inlineStr">
        <is>
          <t>April</t>
        </is>
      </c>
      <c r="B36" s="14" t="inlineStr">
        <is>
          <t>Thalia Rojas</t>
        </is>
      </c>
      <c r="C36" s="15" t="n">
        <v>9</v>
      </c>
      <c r="D36" s="16" t="n">
        <v>14099</v>
      </c>
      <c r="E36" s="15" t="n">
        <v>29</v>
      </c>
      <c r="F36" s="16" t="n">
        <v>39794.4</v>
      </c>
      <c r="G36" s="15" t="n">
        <v>3</v>
      </c>
      <c r="H36" s="16" t="n">
        <v>3617</v>
      </c>
      <c r="I36" s="16" t="n">
        <v>350</v>
      </c>
      <c r="J36" s="11" t="n">
        <v>0</v>
      </c>
      <c r="K36" s="17" t="n">
        <v>0</v>
      </c>
      <c r="L36" s="16" t="n">
        <v>-350</v>
      </c>
    </row>
    <row r="37">
      <c r="A37" s="14" t="inlineStr">
        <is>
          <t>April</t>
        </is>
      </c>
      <c r="B37" s="14" t="inlineStr">
        <is>
          <t>Monica Valdes</t>
        </is>
      </c>
      <c r="C37" s="15" t="n">
        <v>22</v>
      </c>
      <c r="D37" s="16" t="n">
        <v>29755.49</v>
      </c>
      <c r="E37" s="15" t="n">
        <v>22</v>
      </c>
      <c r="F37" s="16" t="n">
        <v>35279.9</v>
      </c>
      <c r="G37" s="15" t="n">
        <v>2</v>
      </c>
      <c r="H37" s="16" t="n">
        <v>2514</v>
      </c>
      <c r="I37" s="16" t="n">
        <v>350</v>
      </c>
      <c r="J37" s="11" t="n">
        <v>0</v>
      </c>
      <c r="K37" s="17" t="n">
        <v>0</v>
      </c>
      <c r="L37" s="16" t="n">
        <v>-350</v>
      </c>
    </row>
    <row r="38">
      <c r="A38" s="18" t="inlineStr">
        <is>
          <t>REAL 4-MONTH TOTAL (6 agents)</t>
        </is>
      </c>
      <c r="I38" s="19" t="n">
        <v>12220</v>
      </c>
      <c r="J38" s="19" t="n">
        <v>2925</v>
      </c>
      <c r="K38" s="19" t="n">
        <v>1675</v>
      </c>
      <c r="L38" s="19" t="n">
        <v>-10545</v>
      </c>
    </row>
    <row r="40">
      <c r="A40" s="5" t="inlineStr">
        <is>
          <t>SCENARIO 2: 50% OF RWR CONVERTED TO REN (future-state target)</t>
        </is>
      </c>
    </row>
    <row r="41">
      <c r="A41" s="6" t="inlineStr">
        <is>
          <t>Month</t>
        </is>
      </c>
      <c r="B41" s="6" t="inlineStr">
        <is>
          <t>Agent</t>
        </is>
      </c>
      <c r="C41" s="6" t="inlineStr">
        <is>
          <t>NB #</t>
        </is>
      </c>
      <c r="D41" s="6" t="inlineStr">
        <is>
          <t>NB $</t>
        </is>
      </c>
      <c r="E41" s="6" t="inlineStr">
        <is>
          <t>RWR #</t>
        </is>
      </c>
      <c r="F41" s="6" t="inlineStr">
        <is>
          <t>RWR $</t>
        </is>
      </c>
      <c r="G41" s="6" t="inlineStr">
        <is>
          <t>REN #</t>
        </is>
      </c>
      <c r="H41" s="6" t="inlineStr">
        <is>
          <t>REN $</t>
        </is>
      </c>
      <c r="I41" s="6" t="inlineStr">
        <is>
          <t>Current</t>
        </is>
      </c>
      <c r="J41" s="6" t="inlineStr">
        <is>
          <t>Plan no-min</t>
        </is>
      </c>
      <c r="K41" s="6" t="inlineStr">
        <is>
          <t>Plan WITH MIN</t>
        </is>
      </c>
      <c r="L41" s="6" t="inlineStr">
        <is>
          <t>vs Current</t>
        </is>
      </c>
    </row>
    <row r="42">
      <c r="A42" s="14" t="inlineStr">
        <is>
          <t>January</t>
        </is>
      </c>
      <c r="B42" s="14" t="inlineStr">
        <is>
          <t>Abel Guaina</t>
        </is>
      </c>
      <c r="C42" s="15" t="n">
        <v>25</v>
      </c>
      <c r="D42" s="16" t="n">
        <v>38611.42</v>
      </c>
      <c r="E42" s="15" t="n">
        <v>9</v>
      </c>
      <c r="F42" s="16" t="n">
        <v>13759.25</v>
      </c>
      <c r="G42" s="15" t="n">
        <v>17</v>
      </c>
      <c r="H42" s="16" t="n">
        <v>21364.25</v>
      </c>
      <c r="I42" s="16" t="n">
        <v>250</v>
      </c>
      <c r="J42" s="11" t="n">
        <v>0</v>
      </c>
      <c r="K42" s="17" t="n">
        <v>0</v>
      </c>
      <c r="L42" s="16" t="n">
        <v>-250</v>
      </c>
    </row>
    <row r="43">
      <c r="A43" s="14" t="inlineStr">
        <is>
          <t>January</t>
        </is>
      </c>
      <c r="B43" s="14" t="inlineStr">
        <is>
          <t>Dialinerys Dieguez</t>
        </is>
      </c>
      <c r="C43" s="15" t="n">
        <v>23</v>
      </c>
      <c r="D43" s="16" t="n">
        <v>40249.26</v>
      </c>
      <c r="E43" s="15" t="n">
        <v>24</v>
      </c>
      <c r="F43" s="16" t="n">
        <v>32837.69</v>
      </c>
      <c r="G43" s="15" t="n">
        <v>35</v>
      </c>
      <c r="H43" s="16" t="n">
        <v>45368.16</v>
      </c>
      <c r="I43" s="16" t="n">
        <v>350</v>
      </c>
      <c r="J43" s="11" t="n">
        <v>850</v>
      </c>
      <c r="K43" s="17" t="n">
        <v>850</v>
      </c>
      <c r="L43" s="16" t="n">
        <v>500</v>
      </c>
    </row>
    <row r="44">
      <c r="A44" s="14" t="inlineStr">
        <is>
          <t>January</t>
        </is>
      </c>
      <c r="B44" s="14" t="inlineStr">
        <is>
          <t>Melissa Hernandez</t>
        </is>
      </c>
      <c r="C44" s="15" t="n">
        <v>31</v>
      </c>
      <c r="D44" s="16" t="n">
        <v>37039</v>
      </c>
      <c r="E44" s="15" t="n">
        <v>24</v>
      </c>
      <c r="F44" s="16" t="n">
        <v>31687.25</v>
      </c>
      <c r="G44" s="15" t="n">
        <v>24</v>
      </c>
      <c r="H44" s="16" t="n">
        <v>31687.25</v>
      </c>
      <c r="I44" s="16" t="n">
        <v>500</v>
      </c>
      <c r="J44" s="11" t="n">
        <v>750</v>
      </c>
      <c r="K44" s="17" t="n">
        <v>750</v>
      </c>
      <c r="L44" s="16" t="n">
        <v>250</v>
      </c>
    </row>
    <row r="45">
      <c r="A45" s="14" t="inlineStr">
        <is>
          <t>January</t>
        </is>
      </c>
      <c r="B45" s="14" t="inlineStr">
        <is>
          <t>Flavia Parra</t>
        </is>
      </c>
      <c r="C45" s="15" t="n">
        <v>19</v>
      </c>
      <c r="D45" s="16" t="n">
        <v>28525.05</v>
      </c>
      <c r="E45" s="15" t="n">
        <v>17</v>
      </c>
      <c r="F45" s="16" t="n">
        <v>19779.025</v>
      </c>
      <c r="G45" s="15" t="n">
        <v>19</v>
      </c>
      <c r="H45" s="16" t="n">
        <v>21243.375</v>
      </c>
      <c r="I45" s="16" t="n">
        <v>350</v>
      </c>
      <c r="J45" s="11" t="n">
        <v>0</v>
      </c>
      <c r="K45" s="17" t="n">
        <v>0</v>
      </c>
      <c r="L45" s="16" t="n">
        <v>-350</v>
      </c>
    </row>
    <row r="46">
      <c r="A46" s="14" t="inlineStr">
        <is>
          <t>January</t>
        </is>
      </c>
      <c r="B46" s="14" t="inlineStr">
        <is>
          <t>Thalia Rojas</t>
        </is>
      </c>
      <c r="C46" s="15" t="n">
        <v>10</v>
      </c>
      <c r="D46" s="16" t="n">
        <v>15503.9</v>
      </c>
      <c r="E46" s="15" t="n">
        <v>14</v>
      </c>
      <c r="F46" s="16" t="n">
        <v>16541.965</v>
      </c>
      <c r="G46" s="15" t="n">
        <v>18</v>
      </c>
      <c r="H46" s="16" t="n">
        <v>20231.965</v>
      </c>
      <c r="I46" s="16" t="n">
        <v>0</v>
      </c>
      <c r="J46" s="11" t="n">
        <v>0</v>
      </c>
      <c r="K46" s="17" t="n">
        <v>0</v>
      </c>
      <c r="L46" s="16" t="n">
        <v>0</v>
      </c>
    </row>
    <row r="47">
      <c r="A47" s="14" t="inlineStr">
        <is>
          <t>January</t>
        </is>
      </c>
      <c r="B47" s="14" t="inlineStr">
        <is>
          <t>Monica Valdes</t>
        </is>
      </c>
      <c r="C47" s="15" t="n">
        <v>23</v>
      </c>
      <c r="D47" s="16" t="n">
        <v>28605.29</v>
      </c>
      <c r="E47" s="15" t="n">
        <v>19</v>
      </c>
      <c r="F47" s="16" t="n">
        <v>24306.48</v>
      </c>
      <c r="G47" s="15" t="n">
        <v>24</v>
      </c>
      <c r="H47" s="16" t="n">
        <v>30809.39</v>
      </c>
      <c r="I47" s="16" t="n">
        <v>350</v>
      </c>
      <c r="J47" s="11" t="n">
        <v>750</v>
      </c>
      <c r="K47" s="17" t="n">
        <v>750</v>
      </c>
      <c r="L47" s="16" t="n">
        <v>400</v>
      </c>
    </row>
    <row r="48">
      <c r="A48" s="14" t="inlineStr">
        <is>
          <t>February</t>
        </is>
      </c>
      <c r="B48" s="14" t="inlineStr">
        <is>
          <t>Abel Guaina</t>
        </is>
      </c>
      <c r="C48" s="15" t="n">
        <v>13</v>
      </c>
      <c r="D48" s="16" t="n">
        <v>25367</v>
      </c>
      <c r="E48" s="15" t="n">
        <v>9</v>
      </c>
      <c r="F48" s="16" t="n">
        <v>15321.5</v>
      </c>
      <c r="G48" s="15" t="n">
        <v>17</v>
      </c>
      <c r="H48" s="16" t="n">
        <v>22838.5</v>
      </c>
      <c r="I48" s="16" t="n">
        <v>0</v>
      </c>
      <c r="J48" s="11" t="n">
        <v>0</v>
      </c>
      <c r="K48" s="17" t="n">
        <v>0</v>
      </c>
      <c r="L48" s="16" t="n">
        <v>0</v>
      </c>
    </row>
    <row r="49">
      <c r="A49" s="14" t="inlineStr">
        <is>
          <t>February</t>
        </is>
      </c>
      <c r="B49" s="14" t="inlineStr">
        <is>
          <t>Dialinerys Dieguez</t>
        </is>
      </c>
      <c r="C49" s="15" t="n">
        <v>23</v>
      </c>
      <c r="D49" s="16" t="n">
        <v>30057.89</v>
      </c>
      <c r="E49" s="15" t="n">
        <v>28</v>
      </c>
      <c r="F49" s="16" t="n">
        <v>42772.3</v>
      </c>
      <c r="G49" s="15" t="n">
        <v>37</v>
      </c>
      <c r="H49" s="16" t="n">
        <v>54401.98</v>
      </c>
      <c r="I49" s="16" t="n">
        <v>460</v>
      </c>
      <c r="J49" s="11" t="n">
        <v>850</v>
      </c>
      <c r="K49" s="17" t="n">
        <v>850</v>
      </c>
      <c r="L49" s="16" t="n">
        <v>390</v>
      </c>
    </row>
    <row r="50">
      <c r="A50" s="14" t="inlineStr">
        <is>
          <t>February</t>
        </is>
      </c>
      <c r="B50" s="14" t="inlineStr">
        <is>
          <t>Melissa Hernandez</t>
        </is>
      </c>
      <c r="C50" s="15" t="n">
        <v>13</v>
      </c>
      <c r="D50" s="16" t="n">
        <v>7659.5</v>
      </c>
      <c r="E50" s="15" t="n">
        <v>19</v>
      </c>
      <c r="F50" s="16" t="n">
        <v>24995.35</v>
      </c>
      <c r="G50" s="15" t="n">
        <v>19</v>
      </c>
      <c r="H50" s="16" t="n">
        <v>26058.35</v>
      </c>
      <c r="I50" s="16" t="n">
        <v>250</v>
      </c>
      <c r="J50" s="11" t="n">
        <v>750</v>
      </c>
      <c r="K50" s="17" t="n">
        <v>750</v>
      </c>
      <c r="L50" s="16" t="n">
        <v>500</v>
      </c>
    </row>
    <row r="51">
      <c r="A51" s="14" t="inlineStr">
        <is>
          <t>February</t>
        </is>
      </c>
      <c r="B51" s="14" t="inlineStr">
        <is>
          <t>Flavia Parra</t>
        </is>
      </c>
      <c r="C51" s="15" t="n">
        <v>23</v>
      </c>
      <c r="D51" s="16" t="n">
        <v>22247.7</v>
      </c>
      <c r="E51" s="15" t="n">
        <v>21</v>
      </c>
      <c r="F51" s="16" t="n">
        <v>21843.725</v>
      </c>
      <c r="G51" s="15" t="n">
        <v>23</v>
      </c>
      <c r="H51" s="16" t="n">
        <v>23942.725</v>
      </c>
      <c r="I51" s="16" t="n">
        <v>350</v>
      </c>
      <c r="J51" s="11" t="n">
        <v>0</v>
      </c>
      <c r="K51" s="17" t="n">
        <v>0</v>
      </c>
      <c r="L51" s="16" t="n">
        <v>-350</v>
      </c>
    </row>
    <row r="52">
      <c r="A52" s="14" t="inlineStr">
        <is>
          <t>February</t>
        </is>
      </c>
      <c r="B52" s="14" t="inlineStr">
        <is>
          <t>Thalia Rojas</t>
        </is>
      </c>
      <c r="C52" s="15" t="n">
        <v>14</v>
      </c>
      <c r="D52" s="16" t="n">
        <v>19414.25</v>
      </c>
      <c r="E52" s="15" t="n">
        <v>12</v>
      </c>
      <c r="F52" s="16" t="n">
        <v>14149.08</v>
      </c>
      <c r="G52" s="15" t="n">
        <v>17</v>
      </c>
      <c r="H52" s="16" t="n">
        <v>21595.08</v>
      </c>
      <c r="I52" s="16" t="n">
        <v>0</v>
      </c>
      <c r="J52" s="11" t="n">
        <v>0</v>
      </c>
      <c r="K52" s="17" t="n">
        <v>0</v>
      </c>
      <c r="L52" s="16" t="n">
        <v>0</v>
      </c>
    </row>
    <row r="53">
      <c r="A53" s="14" t="inlineStr">
        <is>
          <t>February</t>
        </is>
      </c>
      <c r="B53" s="14" t="inlineStr">
        <is>
          <t>Monica Valdes</t>
        </is>
      </c>
      <c r="C53" s="15" t="n">
        <v>21</v>
      </c>
      <c r="D53" s="16" t="n">
        <v>31516.95</v>
      </c>
      <c r="E53" s="15" t="n">
        <v>15</v>
      </c>
      <c r="F53" s="16" t="n">
        <v>23614.09</v>
      </c>
      <c r="G53" s="15" t="n">
        <v>16</v>
      </c>
      <c r="H53" s="16" t="n">
        <v>26706.09</v>
      </c>
      <c r="I53" s="16" t="n">
        <v>350</v>
      </c>
      <c r="J53" s="11" t="n">
        <v>750</v>
      </c>
      <c r="K53" s="17" t="n">
        <v>750</v>
      </c>
      <c r="L53" s="16" t="n">
        <v>400</v>
      </c>
    </row>
    <row r="54">
      <c r="A54" s="14" t="inlineStr">
        <is>
          <t>March</t>
        </is>
      </c>
      <c r="B54" s="14" t="inlineStr">
        <is>
          <t>Abel Guaina</t>
        </is>
      </c>
      <c r="C54" s="15" t="n">
        <v>30</v>
      </c>
      <c r="D54" s="16" t="n">
        <v>46523.37</v>
      </c>
      <c r="E54" s="15" t="n">
        <v>9</v>
      </c>
      <c r="F54" s="16" t="n">
        <v>12613.8</v>
      </c>
      <c r="G54" s="15" t="n">
        <v>13</v>
      </c>
      <c r="H54" s="16" t="n">
        <v>16514.8</v>
      </c>
      <c r="I54" s="16" t="n">
        <v>350</v>
      </c>
      <c r="J54" s="11" t="n">
        <v>250</v>
      </c>
      <c r="K54" s="17" t="n">
        <v>250</v>
      </c>
      <c r="L54" s="16" t="n">
        <v>-100</v>
      </c>
    </row>
    <row r="55">
      <c r="A55" s="14" t="inlineStr">
        <is>
          <t>March</t>
        </is>
      </c>
      <c r="B55" s="14" t="inlineStr">
        <is>
          <t>Dialinerys Dieguez</t>
        </is>
      </c>
      <c r="C55" s="15" t="n">
        <v>38</v>
      </c>
      <c r="D55" s="16" t="n">
        <v>52434.9</v>
      </c>
      <c r="E55" s="15" t="n">
        <v>35</v>
      </c>
      <c r="F55" s="16" t="n">
        <v>48114.175</v>
      </c>
      <c r="G55" s="15" t="n">
        <v>41</v>
      </c>
      <c r="H55" s="16" t="n">
        <v>54076.675</v>
      </c>
      <c r="I55" s="16" t="n">
        <v>680</v>
      </c>
      <c r="J55" s="11" t="n">
        <v>1200</v>
      </c>
      <c r="K55" s="17" t="n">
        <v>1200</v>
      </c>
      <c r="L55" s="16" t="n">
        <v>520</v>
      </c>
    </row>
    <row r="56">
      <c r="A56" s="14" t="inlineStr">
        <is>
          <t>March</t>
        </is>
      </c>
      <c r="B56" s="14" t="inlineStr">
        <is>
          <t>Melissa Hernandez</t>
        </is>
      </c>
      <c r="C56" s="15" t="n">
        <v>28</v>
      </c>
      <c r="D56" s="16" t="n">
        <v>39759.7</v>
      </c>
      <c r="E56" s="15" t="n">
        <v>24</v>
      </c>
      <c r="F56" s="16" t="n">
        <v>28430.3</v>
      </c>
      <c r="G56" s="15" t="n">
        <v>25</v>
      </c>
      <c r="H56" s="16" t="n">
        <v>29464.3</v>
      </c>
      <c r="I56" s="16" t="n">
        <v>470</v>
      </c>
      <c r="J56" s="11" t="n">
        <v>750</v>
      </c>
      <c r="K56" s="17" t="n">
        <v>750</v>
      </c>
      <c r="L56" s="16" t="n">
        <v>280</v>
      </c>
    </row>
    <row r="57">
      <c r="A57" s="14" t="inlineStr">
        <is>
          <t>March</t>
        </is>
      </c>
      <c r="B57" s="14" t="inlineStr">
        <is>
          <t>Flavia Parra</t>
        </is>
      </c>
      <c r="C57" s="15" t="n">
        <v>27</v>
      </c>
      <c r="D57" s="16" t="n">
        <v>31269</v>
      </c>
      <c r="E57" s="15" t="n">
        <v>13</v>
      </c>
      <c r="F57" s="16" t="n">
        <v>11763.35</v>
      </c>
      <c r="G57" s="15" t="n">
        <v>14</v>
      </c>
      <c r="H57" s="16" t="n">
        <v>11763.35</v>
      </c>
      <c r="I57" s="16" t="n">
        <v>350</v>
      </c>
      <c r="J57" s="11" t="n">
        <v>0</v>
      </c>
      <c r="K57" s="17" t="n">
        <v>0</v>
      </c>
      <c r="L57" s="16" t="n">
        <v>-350</v>
      </c>
    </row>
    <row r="58">
      <c r="A58" s="14" t="inlineStr">
        <is>
          <t>March</t>
        </is>
      </c>
      <c r="B58" s="14" t="inlineStr">
        <is>
          <t>Thalia Rojas</t>
        </is>
      </c>
      <c r="C58" s="15" t="n">
        <v>19</v>
      </c>
      <c r="D58" s="16" t="n">
        <v>17843.69</v>
      </c>
      <c r="E58" s="15" t="n">
        <v>9</v>
      </c>
      <c r="F58" s="16" t="n">
        <v>9920.424999999999</v>
      </c>
      <c r="G58" s="15" t="n">
        <v>16</v>
      </c>
      <c r="H58" s="16" t="n">
        <v>15564.325</v>
      </c>
      <c r="I58" s="16" t="n">
        <v>0</v>
      </c>
      <c r="J58" s="11" t="n">
        <v>0</v>
      </c>
      <c r="K58" s="17" t="n">
        <v>0</v>
      </c>
      <c r="L58" s="16" t="n">
        <v>0</v>
      </c>
    </row>
    <row r="59">
      <c r="A59" s="14" t="inlineStr">
        <is>
          <t>March</t>
        </is>
      </c>
      <c r="B59" s="14" t="inlineStr">
        <is>
          <t>Monica Valdes</t>
        </is>
      </c>
      <c r="C59" s="15" t="n">
        <v>36</v>
      </c>
      <c r="D59" s="16" t="n">
        <v>68546.22</v>
      </c>
      <c r="E59" s="15" t="n">
        <v>14</v>
      </c>
      <c r="F59" s="16" t="n">
        <v>19627.325</v>
      </c>
      <c r="G59" s="15" t="n">
        <v>14</v>
      </c>
      <c r="H59" s="16" t="n">
        <v>19627.325</v>
      </c>
      <c r="I59" s="16" t="n">
        <v>450</v>
      </c>
      <c r="J59" s="11" t="n">
        <v>375</v>
      </c>
      <c r="K59" s="17" t="n">
        <v>375</v>
      </c>
      <c r="L59" s="16" t="n">
        <v>-75</v>
      </c>
    </row>
    <row r="60">
      <c r="A60" s="14" t="inlineStr">
        <is>
          <t>April</t>
        </is>
      </c>
      <c r="B60" s="14" t="inlineStr">
        <is>
          <t>Abel Guaina</t>
        </is>
      </c>
      <c r="C60" s="15" t="n">
        <v>27</v>
      </c>
      <c r="D60" s="16" t="n">
        <v>37825.93</v>
      </c>
      <c r="E60" s="15" t="n">
        <v>7</v>
      </c>
      <c r="F60" s="16" t="n">
        <v>7680.975</v>
      </c>
      <c r="G60" s="15" t="n">
        <v>21</v>
      </c>
      <c r="H60" s="16" t="n">
        <v>18616.965</v>
      </c>
      <c r="I60" s="16" t="n">
        <v>250</v>
      </c>
      <c r="J60" s="11" t="n">
        <v>0</v>
      </c>
      <c r="K60" s="17" t="n">
        <v>0</v>
      </c>
      <c r="L60" s="16" t="n">
        <v>-250</v>
      </c>
    </row>
    <row r="61">
      <c r="A61" s="14" t="inlineStr">
        <is>
          <t>April</t>
        </is>
      </c>
      <c r="B61" s="14" t="inlineStr">
        <is>
          <t>Dialinerys Dieguez</t>
        </is>
      </c>
      <c r="C61" s="15" t="n">
        <v>33</v>
      </c>
      <c r="D61" s="16" t="n">
        <v>49689.35</v>
      </c>
      <c r="E61" s="15" t="n">
        <v>22</v>
      </c>
      <c r="F61" s="16" t="n">
        <v>32082.715</v>
      </c>
      <c r="G61" s="15" t="n">
        <v>24</v>
      </c>
      <c r="H61" s="16" t="n">
        <v>51657.715</v>
      </c>
      <c r="I61" s="16" t="n">
        <v>500</v>
      </c>
      <c r="J61" s="11" t="n">
        <v>1100</v>
      </c>
      <c r="K61" s="17" t="n">
        <v>1100</v>
      </c>
      <c r="L61" s="16" t="n">
        <v>600</v>
      </c>
    </row>
    <row r="62">
      <c r="A62" s="14" t="inlineStr">
        <is>
          <t>April</t>
        </is>
      </c>
      <c r="B62" s="14" t="inlineStr">
        <is>
          <t>Melissa Hernandez</t>
        </is>
      </c>
      <c r="C62" s="15" t="n">
        <v>15</v>
      </c>
      <c r="D62" s="16" t="n">
        <v>19288.35</v>
      </c>
      <c r="E62" s="15" t="n">
        <v>19</v>
      </c>
      <c r="F62" s="16" t="n">
        <v>21698.1</v>
      </c>
      <c r="G62" s="15" t="n">
        <v>18</v>
      </c>
      <c r="H62" s="16" t="n">
        <v>21698.1</v>
      </c>
      <c r="I62" s="16" t="n">
        <v>250</v>
      </c>
      <c r="J62" s="11" t="n">
        <v>0</v>
      </c>
      <c r="K62" s="17" t="n">
        <v>0</v>
      </c>
      <c r="L62" s="16" t="n">
        <v>-250</v>
      </c>
    </row>
    <row r="63">
      <c r="A63" s="14" t="inlineStr">
        <is>
          <t>April</t>
        </is>
      </c>
      <c r="B63" s="14" t="inlineStr">
        <is>
          <t>Flavia Parra</t>
        </is>
      </c>
      <c r="C63" s="15" t="n">
        <v>23</v>
      </c>
      <c r="D63" s="16" t="n">
        <v>29581.05</v>
      </c>
      <c r="E63" s="15" t="n">
        <v>15</v>
      </c>
      <c r="F63" s="16" t="n">
        <v>15416.38</v>
      </c>
      <c r="G63" s="15" t="n">
        <v>17</v>
      </c>
      <c r="H63" s="16" t="n">
        <v>16301.38</v>
      </c>
      <c r="I63" s="16" t="n">
        <v>350</v>
      </c>
      <c r="J63" s="11" t="n">
        <v>0</v>
      </c>
      <c r="K63" s="17" t="n">
        <v>0</v>
      </c>
      <c r="L63" s="16" t="n">
        <v>-350</v>
      </c>
    </row>
    <row r="64">
      <c r="A64" s="14" t="inlineStr">
        <is>
          <t>April</t>
        </is>
      </c>
      <c r="B64" s="14" t="inlineStr">
        <is>
          <t>Thalia Rojas</t>
        </is>
      </c>
      <c r="C64" s="15" t="n">
        <v>9</v>
      </c>
      <c r="D64" s="16" t="n">
        <v>14099</v>
      </c>
      <c r="E64" s="15" t="n">
        <v>15</v>
      </c>
      <c r="F64" s="16" t="n">
        <v>19897.2</v>
      </c>
      <c r="G64" s="15" t="n">
        <v>17</v>
      </c>
      <c r="H64" s="16" t="n">
        <v>23514.2</v>
      </c>
      <c r="I64" s="16" t="n">
        <v>0</v>
      </c>
      <c r="J64" s="11" t="n">
        <v>0</v>
      </c>
      <c r="K64" s="17" t="n">
        <v>0</v>
      </c>
      <c r="L64" s="16" t="n">
        <v>0</v>
      </c>
    </row>
    <row r="65">
      <c r="A65" s="14" t="inlineStr">
        <is>
          <t>April</t>
        </is>
      </c>
      <c r="B65" s="14" t="inlineStr">
        <is>
          <t>Monica Valdes</t>
        </is>
      </c>
      <c r="C65" s="15" t="n">
        <v>22</v>
      </c>
      <c r="D65" s="16" t="n">
        <v>29755.49</v>
      </c>
      <c r="E65" s="15" t="n">
        <v>11</v>
      </c>
      <c r="F65" s="16" t="n">
        <v>17639.95</v>
      </c>
      <c r="G65" s="15" t="n">
        <v>13</v>
      </c>
      <c r="H65" s="16" t="n">
        <v>20153.95</v>
      </c>
      <c r="I65" s="16" t="n">
        <v>250</v>
      </c>
      <c r="J65" s="11" t="n">
        <v>0</v>
      </c>
      <c r="K65" s="17" t="n">
        <v>0</v>
      </c>
      <c r="L65" s="16" t="n">
        <v>-250</v>
      </c>
    </row>
    <row r="66">
      <c r="A66" s="18" t="inlineStr">
        <is>
          <t>SWAP 4-MONTH TOTAL (6 agents)</t>
        </is>
      </c>
      <c r="I66" s="19" t="n">
        <v>7110</v>
      </c>
      <c r="J66" s="19" t="n">
        <v>8375</v>
      </c>
      <c r="K66" s="19" t="n">
        <v>8375</v>
      </c>
      <c r="L66" s="19" t="n">
        <v>1265</v>
      </c>
    </row>
    <row r="69">
      <c r="A69" s="5" t="inlineStr">
        <is>
          <t>OWNERSHIP READ</t>
        </is>
      </c>
    </row>
    <row r="70" ht="44" customHeight="1">
      <c r="A70" s="20" t="inlineStr">
        <is>
          <t>REAL DATA TODAY: Current pays $12,220 (broken plan, rewards rewriting). The Bonus Plan WITH MIN pays $1,675 (less, because few agents clear the $45k NB gate today).</t>
        </is>
      </c>
    </row>
    <row r="71" ht="44" customHeight="1">
      <c r="A71" s="20" t="inlineStr">
        <is>
          <t>100% FLIP - 'if you had been renewing instead of rewriting': The Bonus Plan WITH MIN pays $18,475 (151% of today's $12,220 current). Agent earns close to today for doing the RIGHT behavior.</t>
        </is>
      </c>
    </row>
    <row r="72" ht="44" customHeight="1">
      <c r="A72" s="20" t="inlineStr">
        <is>
          <t>WHY CURRENT DROPS WHEN BEHAVIOR SHIFTS: today's plan pays $0 for renewals - it only counts NB+RWR toward the 35-policy tier. When rewrites convert to renewals, the count drops, the bonus drops. Under FLIP, current crashes to $2,750. The new plan pays for renewals, so behavior shift GROWS pay.</t>
        </is>
      </c>
    </row>
    <row r="73" ht="44" customHeight="1">
      <c r="A73" s="20" t="inlineStr">
        <is>
          <t>PROFIT PROTECTION: Pay = target. Review threshold flags months above 40% of safe net. 90-day chargeback reverses any bonus on a policy that cancels/rewrites within 90 days. Minimums add a third layer: NB $45,000/mo + retention &gt;= 30% of book or no bonus that month.</t>
        </is>
      </c>
    </row>
    <row r="74" ht="44" customHeight="1">
      <c r="A74" s="20" t="inlineStr">
        <is>
          <t>RECOMMENDATION: The Bonus Plan with $45,000 NB + 30% retention minimums. Pilot 90 days side-by-side with the current plan (pay the higher of the two), then switch over.</t>
        </is>
      </c>
    </row>
  </sheetData>
  <mergeCells count="12">
    <mergeCell ref="A73:I73"/>
    <mergeCell ref="A10:L10"/>
    <mergeCell ref="A1:M1"/>
    <mergeCell ref="A71:I71"/>
    <mergeCell ref="A70:I70"/>
    <mergeCell ref="A40:L40"/>
    <mergeCell ref="A74:I74"/>
    <mergeCell ref="A2:M2"/>
    <mergeCell ref="A69:L69"/>
    <mergeCell ref="A12:L12"/>
    <mergeCell ref="A4:L4"/>
    <mergeCell ref="A72:I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1" t="inlineStr">
        <is>
          <t>THE BONUS PLAN</t>
        </is>
      </c>
    </row>
    <row r="2">
      <c r="A2" s="22" t="inlineStr">
        <is>
          <t>Monthly written-premium TIERS for NB, RWR, and REN. Same structure as today (30/38/50 count tiers) but driven by PREMIUM, not policy count. Retention rate gates REN; NB premium gate ($45k) also gates RWR. 3-month chargeback. Excel tracker required for every policy.</t>
        </is>
      </c>
    </row>
    <row r="4">
      <c r="A4" s="5" t="inlineStr">
        <is>
          <t>1. NEW BUSINESS (NB) - 5 tiers by monthly written premium, $1,000 at $100k</t>
        </is>
      </c>
    </row>
    <row r="5">
      <c r="A5" s="6" t="inlineStr">
        <is>
          <t>Tier</t>
        </is>
      </c>
      <c r="B5" s="6" t="inlineStr">
        <is>
          <t>Monthly NB written premium</t>
        </is>
      </c>
      <c r="C5" s="6" t="inlineStr">
        <is>
          <t>NB bonus</t>
        </is>
      </c>
      <c r="D5" s="6" t="inlineStr">
        <is>
          <t>Jump from prior tier</t>
        </is>
      </c>
      <c r="E5" s="6" t="inlineStr">
        <is>
          <t>Plain English</t>
        </is>
      </c>
    </row>
    <row r="6">
      <c r="A6" s="12" t="inlineStr">
        <is>
          <t>Below T1</t>
        </is>
      </c>
      <c r="B6" s="12" t="inlineStr">
        <is>
          <t>Under $45,000</t>
        </is>
      </c>
      <c r="C6" s="12" t="inlineStr">
        <is>
          <t>$0</t>
        </is>
      </c>
      <c r="D6" s="12" t="inlineStr">
        <is>
          <t>-</t>
        </is>
      </c>
      <c r="E6" s="12" t="inlineStr">
        <is>
          <t>Below minimum requirement.</t>
        </is>
      </c>
    </row>
    <row r="7">
      <c r="A7" s="14" t="inlineStr">
        <is>
          <t>T1 (min)</t>
        </is>
      </c>
      <c r="B7" s="14" t="inlineStr">
        <is>
          <t>$45,000</t>
        </is>
      </c>
      <c r="C7" s="14" t="inlineStr">
        <is>
          <t>$250</t>
        </is>
      </c>
      <c r="D7" s="14" t="inlineStr">
        <is>
          <t>entry</t>
        </is>
      </c>
      <c r="E7" s="14" t="inlineStr">
        <is>
          <t>Minimum reached.</t>
        </is>
      </c>
    </row>
    <row r="8">
      <c r="A8" s="12" t="inlineStr">
        <is>
          <t>T2</t>
        </is>
      </c>
      <c r="B8" s="12" t="inlineStr">
        <is>
          <t>$55,000</t>
        </is>
      </c>
      <c r="C8" s="12" t="inlineStr">
        <is>
          <t>$375</t>
        </is>
      </c>
      <c r="D8" s="12" t="inlineStr">
        <is>
          <t>+$125</t>
        </is>
      </c>
      <c r="E8" s="12" t="inlineStr"/>
    </row>
    <row r="9">
      <c r="A9" s="14" t="inlineStr">
        <is>
          <t>T3</t>
        </is>
      </c>
      <c r="B9" s="14" t="inlineStr">
        <is>
          <t>$70,000</t>
        </is>
      </c>
      <c r="C9" s="14" t="inlineStr">
        <is>
          <t>$525</t>
        </is>
      </c>
      <c r="D9" s="14" t="inlineStr">
        <is>
          <t>+$150</t>
        </is>
      </c>
      <c r="E9" s="14" t="inlineStr"/>
    </row>
    <row r="10">
      <c r="A10" s="12" t="inlineStr">
        <is>
          <t>T4</t>
        </is>
      </c>
      <c r="B10" s="12" t="inlineStr">
        <is>
          <t>$85,000</t>
        </is>
      </c>
      <c r="C10" s="12" t="inlineStr">
        <is>
          <t>$725</t>
        </is>
      </c>
      <c r="D10" s="12" t="inlineStr">
        <is>
          <t>+$200</t>
        </is>
      </c>
      <c r="E10" s="12" t="inlineStr"/>
    </row>
    <row r="11">
      <c r="A11" s="14" t="inlineStr">
        <is>
          <t>T5</t>
        </is>
      </c>
      <c r="B11" s="14" t="inlineStr">
        <is>
          <t>$100,000</t>
        </is>
      </c>
      <c r="C11" s="14" t="inlineStr">
        <is>
          <t>$1,000</t>
        </is>
      </c>
      <c r="D11" s="14" t="inlineStr">
        <is>
          <t>+$275</t>
        </is>
      </c>
      <c r="E11" s="14" t="inlineStr">
        <is>
          <t>Top tier - biggest jump.</t>
        </is>
      </c>
    </row>
    <row r="12">
      <c r="A12" s="12" t="inlineStr">
        <is>
          <t>Above $100k</t>
        </is>
      </c>
      <c r="B12" s="12" t="inlineStr">
        <is>
          <t>+$5k extra</t>
        </is>
      </c>
      <c r="C12" s="12" t="inlineStr">
        <is>
          <t>+$50</t>
        </is>
      </c>
      <c r="D12" s="12" t="inlineStr">
        <is>
          <t>1% rate</t>
        </is>
      </c>
      <c r="E12" s="12" t="inlineStr">
        <is>
          <t>No cap. $150k -&gt; $1,500.</t>
        </is>
      </c>
    </row>
    <row r="14">
      <c r="A14" s="5" t="inlineStr">
        <is>
          <t>2. REWRITES (RWR) - same tier breakpoints as NB, but pays HALF</t>
        </is>
      </c>
    </row>
    <row r="15">
      <c r="A15" s="6" t="inlineStr">
        <is>
          <t>Tier</t>
        </is>
      </c>
      <c r="B15" s="6" t="inlineStr">
        <is>
          <t>Monthly RWR written premium</t>
        </is>
      </c>
      <c r="C15" s="6" t="inlineStr">
        <is>
          <t>RWR bonus (1/2 of NB)</t>
        </is>
      </c>
      <c r="D15" s="6" t="inlineStr">
        <is>
          <t>Plain English</t>
        </is>
      </c>
    </row>
    <row r="16">
      <c r="A16" s="12" t="inlineStr">
        <is>
          <t>Below T1</t>
        </is>
      </c>
      <c r="B16" s="12" t="inlineStr">
        <is>
          <t>Under $45,000</t>
        </is>
      </c>
      <c r="C16" s="12" t="inlineStr">
        <is>
          <t>$0</t>
        </is>
      </c>
      <c r="D16" s="12" t="inlineStr"/>
    </row>
    <row r="17">
      <c r="A17" s="14" t="inlineStr">
        <is>
          <t>T1</t>
        </is>
      </c>
      <c r="B17" s="14" t="inlineStr">
        <is>
          <t>$45,000</t>
        </is>
      </c>
      <c r="C17" s="14" t="inlineStr">
        <is>
          <t>$100</t>
        </is>
      </c>
      <c r="D17" s="14" t="inlineStr"/>
    </row>
    <row r="18">
      <c r="A18" s="12" t="inlineStr">
        <is>
          <t>T2</t>
        </is>
      </c>
      <c r="B18" s="12" t="inlineStr">
        <is>
          <t>$55,000</t>
        </is>
      </c>
      <c r="C18" s="12" t="inlineStr">
        <is>
          <t>$200</t>
        </is>
      </c>
      <c r="D18" s="12" t="inlineStr"/>
    </row>
    <row r="19">
      <c r="A19" s="14" t="inlineStr">
        <is>
          <t>T3</t>
        </is>
      </c>
      <c r="B19" s="14" t="inlineStr">
        <is>
          <t>$70,000</t>
        </is>
      </c>
      <c r="C19" s="14" t="inlineStr">
        <is>
          <t>$275</t>
        </is>
      </c>
      <c r="D19" s="14" t="inlineStr"/>
    </row>
    <row r="20">
      <c r="A20" s="12" t="inlineStr">
        <is>
          <t>T4</t>
        </is>
      </c>
      <c r="B20" s="12" t="inlineStr">
        <is>
          <t>$85,000</t>
        </is>
      </c>
      <c r="C20" s="12" t="inlineStr">
        <is>
          <t>$350</t>
        </is>
      </c>
      <c r="D20" s="12" t="inlineStr"/>
    </row>
    <row r="21">
      <c r="A21" s="14" t="inlineStr">
        <is>
          <t>T5</t>
        </is>
      </c>
      <c r="B21" s="14" t="inlineStr">
        <is>
          <t>$100,000</t>
        </is>
      </c>
      <c r="C21" s="14" t="inlineStr">
        <is>
          <t>$500</t>
        </is>
      </c>
      <c r="D21" s="14" t="inlineStr">
        <is>
          <t>Top tier.</t>
        </is>
      </c>
    </row>
    <row r="22">
      <c r="A22" s="12" t="inlineStr">
        <is>
          <t>Above $100k</t>
        </is>
      </c>
      <c r="B22" s="12" t="inlineStr">
        <is>
          <t>+$5k extra</t>
        </is>
      </c>
      <c r="C22" s="12" t="inlineStr">
        <is>
          <t>+$25</t>
        </is>
      </c>
      <c r="D22" s="12" t="inlineStr">
        <is>
          <t>0.5% rate.</t>
        </is>
      </c>
    </row>
    <row r="23">
      <c r="A23" s="14" t="inlineStr">
        <is>
          <t>Gate</t>
        </is>
      </c>
      <c r="B23" s="14" t="inlineStr">
        <is>
          <t>NB premium &gt;= $45k</t>
        </is>
      </c>
      <c r="C23" s="14" t="inlineStr"/>
      <c r="D23" s="14" t="inlineStr">
        <is>
          <t>No separate RWR min. NB gate unlocks RWR.</t>
        </is>
      </c>
    </row>
    <row r="25">
      <c r="A25" s="5" t="inlineStr">
        <is>
          <t>3. RENEWALS (REN) - own tiers starting at $25k, gated by retention rate</t>
        </is>
      </c>
    </row>
    <row r="26">
      <c r="A26" s="6" t="inlineStr">
        <is>
          <t>Tier</t>
        </is>
      </c>
      <c r="B26" s="6" t="inlineStr">
        <is>
          <t>Monthly REN written premium</t>
        </is>
      </c>
      <c r="C26" s="6" t="inlineStr">
        <is>
          <t>REN bonus (~0.80x of NB)</t>
        </is>
      </c>
      <c r="D26" s="6" t="inlineStr">
        <is>
          <t>Plain English</t>
        </is>
      </c>
    </row>
    <row r="27">
      <c r="A27" s="14" t="inlineStr">
        <is>
          <t>Below T1</t>
        </is>
      </c>
      <c r="B27" s="14" t="inlineStr">
        <is>
          <t>Under $25,000</t>
        </is>
      </c>
      <c r="C27" s="14" t="inlineStr">
        <is>
          <t>$0</t>
        </is>
      </c>
      <c r="D27" s="14" t="inlineStr"/>
    </row>
    <row r="28">
      <c r="A28" s="12" t="inlineStr">
        <is>
          <t>T1</t>
        </is>
      </c>
      <c r="B28" s="12" t="inlineStr">
        <is>
          <t>$25,000</t>
        </is>
      </c>
      <c r="C28" s="12" t="inlineStr">
        <is>
          <t>$250</t>
        </is>
      </c>
      <c r="D28" s="12" t="inlineStr">
        <is>
          <t>Entry - lower bar (smaller books).</t>
        </is>
      </c>
    </row>
    <row r="29">
      <c r="A29" s="14" t="inlineStr">
        <is>
          <t>T2</t>
        </is>
      </c>
      <c r="B29" s="14" t="inlineStr">
        <is>
          <t>$40,000</t>
        </is>
      </c>
      <c r="C29" s="14" t="inlineStr">
        <is>
          <t>$350</t>
        </is>
      </c>
      <c r="D29" s="14" t="inlineStr"/>
    </row>
    <row r="30">
      <c r="A30" s="12" t="inlineStr">
        <is>
          <t>T3</t>
        </is>
      </c>
      <c r="B30" s="12" t="inlineStr">
        <is>
          <t>$65,000</t>
        </is>
      </c>
      <c r="C30" s="12" t="inlineStr">
        <is>
          <t>$450</t>
        </is>
      </c>
      <c r="D30" s="12" t="inlineStr"/>
    </row>
    <row r="31">
      <c r="A31" s="14" t="inlineStr">
        <is>
          <t>T4</t>
        </is>
      </c>
      <c r="B31" s="14" t="inlineStr">
        <is>
          <t>$80,000</t>
        </is>
      </c>
      <c r="C31" s="14" t="inlineStr">
        <is>
          <t>$550</t>
        </is>
      </c>
      <c r="D31" s="14" t="inlineStr"/>
    </row>
    <row r="32">
      <c r="A32" s="12" t="inlineStr">
        <is>
          <t>T5</t>
        </is>
      </c>
      <c r="B32" s="12" t="inlineStr">
        <is>
          <t>$100,000</t>
        </is>
      </c>
      <c r="C32" s="12" t="inlineStr">
        <is>
          <t>$800</t>
        </is>
      </c>
      <c r="D32" s="12" t="inlineStr">
        <is>
          <t>Top tier - biggest jump.</t>
        </is>
      </c>
    </row>
    <row r="33">
      <c r="A33" s="14" t="inlineStr">
        <is>
          <t>Above $100k</t>
        </is>
      </c>
      <c r="B33" s="14" t="inlineStr">
        <is>
          <t>+$5k extra</t>
        </is>
      </c>
      <c r="C33" s="14" t="inlineStr">
        <is>
          <t>+$40</t>
        </is>
      </c>
      <c r="D33" s="14" t="inlineStr">
        <is>
          <t>0.8% rate. No cap.</t>
        </is>
      </c>
    </row>
    <row r="34">
      <c r="A34" s="12" t="inlineStr">
        <is>
          <t>Gate</t>
        </is>
      </c>
      <c r="B34" s="12" t="inlineStr">
        <is>
          <t>Retention rate &gt;= 30%</t>
        </is>
      </c>
      <c r="C34" s="12" t="inlineStr"/>
      <c r="D34" s="12" t="inlineStr">
        <is>
          <t>Below 30% = no REN bonus this month.</t>
        </is>
      </c>
    </row>
    <row r="35">
      <c r="A35" s="14" t="inlineStr">
        <is>
          <t>Kicker 30-49%</t>
        </is>
      </c>
      <c r="B35" s="14" t="inlineStr">
        <is>
          <t>+$0</t>
        </is>
      </c>
      <c r="C35" s="14" t="inlineStr"/>
      <c r="D35" s="14" t="inlineStr">
        <is>
          <t>Qualifies for tier bonus, no kicker.</t>
        </is>
      </c>
    </row>
    <row r="36">
      <c r="A36" s="12" t="inlineStr">
        <is>
          <t>Kicker 50-74%</t>
        </is>
      </c>
      <c r="B36" s="12" t="inlineStr">
        <is>
          <t>+$250</t>
        </is>
      </c>
      <c r="C36" s="12" t="inlineStr"/>
      <c r="D36" s="12" t="inlineStr">
        <is>
          <t>Solid retention - on top of the tier bonus.</t>
        </is>
      </c>
    </row>
    <row r="37">
      <c r="A37" s="14" t="inlineStr">
        <is>
          <t>Kicker 75-99%</t>
        </is>
      </c>
      <c r="B37" s="14" t="inlineStr">
        <is>
          <t>+$500</t>
        </is>
      </c>
      <c r="C37" s="14" t="inlineStr"/>
      <c r="D37" s="14" t="inlineStr">
        <is>
          <t>Strong retention - bigger kicker.</t>
        </is>
      </c>
    </row>
    <row r="38">
      <c r="A38" s="12" t="inlineStr">
        <is>
          <t>Kicker 100%</t>
        </is>
      </c>
      <c r="B38" s="12" t="inlineStr">
        <is>
          <t>+$1,000</t>
        </is>
      </c>
      <c r="C38" s="12" t="inlineStr"/>
      <c r="D38" s="12" t="inlineStr">
        <is>
          <t>Perfect retention - top kicker.</t>
        </is>
      </c>
    </row>
    <row r="40">
      <c r="A40" s="5" t="inlineStr">
        <is>
          <t>4. RULES THAT APPLY ON TOP</t>
        </is>
      </c>
    </row>
    <row r="41">
      <c r="A41" s="6" t="inlineStr">
        <is>
          <t>Rule</t>
        </is>
      </c>
      <c r="B41" s="6" t="inlineStr">
        <is>
          <t>Value</t>
        </is>
      </c>
      <c r="C41" s="6" t="inlineStr">
        <is>
          <t>How it works</t>
        </is>
      </c>
    </row>
    <row r="42">
      <c r="A42" s="12" t="inlineStr">
        <is>
          <t>NB minimum</t>
        </is>
      </c>
      <c r="B42" s="12" t="inlineStr">
        <is>
          <t>$45,000 monthly written premium</t>
        </is>
      </c>
      <c r="C42" s="12" t="inlineStr">
        <is>
          <t>NB premium below $45k -&gt; NB bonus = $0 (also blocks RWR).</t>
        </is>
      </c>
    </row>
    <row r="43">
      <c r="A43" s="14" t="inlineStr">
        <is>
          <t>REN minimum</t>
        </is>
      </c>
      <c r="B43" s="14" t="inlineStr">
        <is>
          <t>&gt;= 30% retention rate of book</t>
        </is>
      </c>
      <c r="C43" s="14" t="inlineStr">
        <is>
          <t>Retention &lt; 30% -&gt; REN bonus = $0.</t>
        </is>
      </c>
    </row>
    <row r="44">
      <c r="A44" s="12" t="inlineStr">
        <is>
          <t>RWR gate</t>
        </is>
      </c>
      <c r="B44" s="12" t="inlineStr">
        <is>
          <t>NB minimum met</t>
        </is>
      </c>
      <c r="C44" s="12" t="inlineStr">
        <is>
          <t>No separate RWR floor.</t>
        </is>
      </c>
    </row>
    <row r="45">
      <c r="A45" s="14" t="inlineStr">
        <is>
          <t>90-day chargeback</t>
        </is>
      </c>
      <c r="B45" s="14" t="inlineStr">
        <is>
          <t>100% reversal</t>
        </is>
      </c>
      <c r="C45" s="14" t="inlineStr">
        <is>
          <t>Bonus on a policy is REVERSED if it cancels/rewrites within 90 days of effective date.</t>
        </is>
      </c>
    </row>
    <row r="46">
      <c r="A46" s="12" t="inlineStr">
        <is>
          <t>Manual tracker</t>
        </is>
      </c>
      <c r="B46" s="12" t="inlineStr">
        <is>
          <t>Required per policy</t>
        </is>
      </c>
      <c r="C46" s="12" t="inlineStr">
        <is>
          <t>No entry = no bonus on that policy.</t>
        </is>
      </c>
    </row>
    <row r="47">
      <c r="A47" s="14" t="inlineStr">
        <is>
          <t>Renewal book</t>
        </is>
      </c>
      <c r="B47" s="14" t="inlineStr">
        <is>
          <t>Assigned per agent</t>
        </is>
      </c>
      <c r="C47" s="14" t="inlineStr">
        <is>
          <t>Newer agents inherit a book from former employees.</t>
        </is>
      </c>
    </row>
    <row r="49">
      <c r="A49" s="5" t="inlineStr">
        <is>
          <t>5. WORKED EXAMPLE - Dialinerys Dieguez, March 2026</t>
        </is>
      </c>
    </row>
    <row r="50">
      <c r="A50" s="6" t="inlineStr">
        <is>
          <t>Step</t>
        </is>
      </c>
      <c r="B50" s="6" t="inlineStr">
        <is>
          <t>Math</t>
        </is>
      </c>
      <c r="C50" s="6" t="inlineStr">
        <is>
          <t>Result</t>
        </is>
      </c>
    </row>
    <row r="51" ht="24" customHeight="1">
      <c r="A51" s="14" t="inlineStr">
        <is>
          <t>Volumes</t>
        </is>
      </c>
      <c r="B51" s="14" t="inlineStr">
        <is>
          <t>NB 38 policies = $52,435 written premium (20.1% collected)</t>
        </is>
      </c>
      <c r="C51" s="14" t="inlineStr"/>
    </row>
    <row r="52" ht="24" customHeight="1">
      <c r="A52" s="12" t="inlineStr">
        <is>
          <t>Volumes</t>
        </is>
      </c>
      <c r="B52" s="12" t="inlineStr">
        <is>
          <t>RWR 69 policies = $96,228 written premium (20.5% collected)</t>
        </is>
      </c>
      <c r="C52" s="12" t="inlineStr"/>
    </row>
    <row r="53" ht="24" customHeight="1">
      <c r="A53" s="14" t="inlineStr">
        <is>
          <t>Volumes</t>
        </is>
      </c>
      <c r="B53" s="14" t="inlineStr">
        <is>
          <t>REN 7 policies = $5,962 written premium</t>
        </is>
      </c>
      <c r="C53" s="14" t="inlineStr"/>
    </row>
    <row r="54" ht="24" customHeight="1">
      <c r="A54" s="12" t="inlineStr">
        <is>
          <t>NB tier</t>
        </is>
      </c>
      <c r="B54" s="12" t="inlineStr">
        <is>
          <t>$52k NB written premium lands in T1 $45k</t>
        </is>
      </c>
      <c r="C54" s="12" t="inlineStr">
        <is>
          <t>$250</t>
        </is>
      </c>
    </row>
    <row r="55" ht="24" customHeight="1">
      <c r="A55" s="14" t="inlineStr">
        <is>
          <t>RWR tier</t>
        </is>
      </c>
      <c r="B55" s="14" t="inlineStr">
        <is>
          <t>$96k RWR written premium lands in T4 $85k</t>
        </is>
      </c>
      <c r="C55" s="14" t="inlineStr">
        <is>
          <t>$350</t>
        </is>
      </c>
    </row>
    <row r="56" ht="24" customHeight="1">
      <c r="A56" s="12" t="inlineStr">
        <is>
          <t>REN tier</t>
        </is>
      </c>
      <c r="B56" s="12" t="inlineStr">
        <is>
          <t>$6k REN written premium lands in Below T1</t>
        </is>
      </c>
      <c r="C56" s="12" t="inlineStr">
        <is>
          <t>$0</t>
        </is>
      </c>
    </row>
    <row r="57" ht="24" customHeight="1">
      <c r="A57" s="14" t="inlineStr">
        <is>
          <t>Subtotal target</t>
        </is>
      </c>
      <c r="B57" s="14" t="inlineStr">
        <is>
          <t>(NB + RWR + REN, before gates)</t>
        </is>
      </c>
      <c r="C57" s="14" t="inlineStr">
        <is>
          <t>$600</t>
        </is>
      </c>
    </row>
    <row r="58" ht="24" customHeight="1">
      <c r="A58" s="12" t="inlineStr">
        <is>
          <t>NB gate ($45,000)</t>
        </is>
      </c>
      <c r="B58" s="12" t="inlineStr">
        <is>
          <t>NB written $52,435 vs $45,000</t>
        </is>
      </c>
      <c r="C58" s="23" t="inlineStr">
        <is>
          <t>PASS</t>
        </is>
      </c>
    </row>
    <row r="59" ht="24" customHeight="1">
      <c r="A59" s="14" t="inlineStr">
        <is>
          <t>REN gate (&gt;= 30% retention)</t>
        </is>
      </c>
      <c r="B59" s="14" t="inlineStr">
        <is>
          <t>Assumed retention 75% vs 30%</t>
        </is>
      </c>
      <c r="C59" s="23" t="inlineStr">
        <is>
          <t>PASS</t>
        </is>
      </c>
    </row>
    <row r="60" ht="24" customHeight="1">
      <c r="A60" s="12" t="inlineStr">
        <is>
          <t>RWR gate (NB met)</t>
        </is>
      </c>
      <c r="B60" s="12" t="inlineStr">
        <is>
          <t>RWR pays only if NB gate passed?</t>
        </is>
      </c>
      <c r="C60" s="23" t="inlineStr">
        <is>
          <t>PASS</t>
        </is>
      </c>
    </row>
    <row r="61" ht="24" customHeight="1">
      <c r="A61" s="24" t="inlineStr">
        <is>
          <t>FINAL PAID</t>
        </is>
      </c>
      <c r="B61" s="24" t="inlineStr">
        <is>
          <t>Pay only the lines whose gates passed</t>
        </is>
      </c>
      <c r="C61" s="24" t="inlineStr">
        <is>
          <t>$600.00</t>
        </is>
      </c>
    </row>
  </sheetData>
  <mergeCells count="7">
    <mergeCell ref="A14:G14"/>
    <mergeCell ref="A1:G1"/>
    <mergeCell ref="A40:G40"/>
    <mergeCell ref="A4:G4"/>
    <mergeCell ref="A2:G2"/>
    <mergeCell ref="A25:G25"/>
    <mergeCell ref="A49:G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4" customWidth="1" min="4" max="4"/>
    <col width="42" customWidth="1" min="5" max="5"/>
    <col width="14" customWidth="1" min="6" max="6"/>
  </cols>
  <sheetData>
    <row r="1">
      <c r="A1" s="1" t="inlineStr">
        <is>
          <t>NB BONUS EXAMPLES - 6 agents x 4 months, three scenarios</t>
        </is>
      </c>
    </row>
    <row r="2">
      <c r="A2" s="4" t="inlineStr">
        <is>
          <t>Each row = one agent-month under NB. Sorted by NB premium descending. Progress bar = NB premium / $120k. Tier shows the bonus formula.</t>
        </is>
      </c>
    </row>
    <row r="4" ht="22" customHeight="1">
      <c r="A4" s="5" t="inlineStr">
        <is>
          <t>SCENARIO 1: REAL DATA (Jan-Apr 2026)</t>
        </is>
      </c>
    </row>
    <row r="5" ht="26" customHeight="1">
      <c r="A5" s="6" t="inlineStr">
        <is>
          <t>Agent</t>
        </is>
      </c>
      <c r="B5" s="6" t="inlineStr">
        <is>
          <t>Month</t>
        </is>
      </c>
      <c r="C5" s="6" t="inlineStr">
        <is>
          <t>NB Premium</t>
        </is>
      </c>
      <c r="D5" s="6" t="inlineStr">
        <is>
          <t>Progress Bar</t>
        </is>
      </c>
      <c r="E5" s="6" t="inlineStr">
        <is>
          <t>Tier</t>
        </is>
      </c>
      <c r="F5" s="6" t="inlineStr">
        <is>
          <t>Total Bonus $</t>
        </is>
      </c>
    </row>
    <row r="6" ht="22" customHeight="1">
      <c r="A6" s="25" t="inlineStr">
        <is>
          <t>Monica Valdes</t>
        </is>
      </c>
      <c r="B6" s="14" t="inlineStr">
        <is>
          <t>March</t>
        </is>
      </c>
      <c r="C6" s="16" t="n">
        <v>68546.22</v>
      </c>
      <c r="D6" s="26" t="n">
        <v>68546.22</v>
      </c>
      <c r="E6" s="27" t="inlineStr">
        <is>
          <t>Tier 2 (T2 $55k) - $375</t>
        </is>
      </c>
      <c r="F6" s="28" t="n">
        <v>375</v>
      </c>
    </row>
    <row r="7" ht="22" customHeight="1">
      <c r="A7" s="25" t="inlineStr">
        <is>
          <t>Dialinerys Dieguez</t>
        </is>
      </c>
      <c r="B7" s="14" t="inlineStr">
        <is>
          <t>March</t>
        </is>
      </c>
      <c r="C7" s="16" t="n">
        <v>52434.9</v>
      </c>
      <c r="D7" s="26" t="n">
        <v>52434.9</v>
      </c>
      <c r="E7" s="29" t="inlineStr">
        <is>
          <t>Tier 1 (T1 $45k) - $250</t>
        </is>
      </c>
      <c r="F7" s="28" t="n">
        <v>250</v>
      </c>
    </row>
    <row r="8" ht="22" customHeight="1">
      <c r="A8" s="25" t="inlineStr">
        <is>
          <t>Dialinerys Dieguez</t>
        </is>
      </c>
      <c r="B8" s="14" t="inlineStr">
        <is>
          <t>April</t>
        </is>
      </c>
      <c r="C8" s="16" t="n">
        <v>49689.35</v>
      </c>
      <c r="D8" s="26" t="n">
        <v>49689.35</v>
      </c>
      <c r="E8" s="29" t="inlineStr">
        <is>
          <t>Tier 1 (T1 $45k) - $250</t>
        </is>
      </c>
      <c r="F8" s="28" t="n">
        <v>250</v>
      </c>
    </row>
    <row r="9" ht="22" customHeight="1">
      <c r="A9" s="25" t="inlineStr">
        <is>
          <t>Abel Guaina</t>
        </is>
      </c>
      <c r="B9" s="14" t="inlineStr">
        <is>
          <t>March</t>
        </is>
      </c>
      <c r="C9" s="16" t="n">
        <v>46523.37</v>
      </c>
      <c r="D9" s="26" t="n">
        <v>46523.37</v>
      </c>
      <c r="E9" s="29" t="inlineStr">
        <is>
          <t>Tier 1 (T1 $45k) - $250</t>
        </is>
      </c>
      <c r="F9" s="28" t="n">
        <v>250</v>
      </c>
    </row>
    <row r="10" ht="22" customHeight="1">
      <c r="A10" s="25" t="inlineStr">
        <is>
          <t>Dialinerys Dieguez</t>
        </is>
      </c>
      <c r="B10" s="14" t="inlineStr">
        <is>
          <t>January</t>
        </is>
      </c>
      <c r="C10" s="16" t="n">
        <v>40249.26</v>
      </c>
      <c r="D10" s="26" t="n">
        <v>40249.26</v>
      </c>
      <c r="E10" s="30" t="inlineStr">
        <is>
          <t>Below T1 - Minimum Requirement NOT met</t>
        </is>
      </c>
      <c r="F10" s="31" t="n">
        <v>0</v>
      </c>
    </row>
    <row r="11" ht="22" customHeight="1">
      <c r="A11" s="25" t="inlineStr">
        <is>
          <t>Melissa Hernandez</t>
        </is>
      </c>
      <c r="B11" s="14" t="inlineStr">
        <is>
          <t>March</t>
        </is>
      </c>
      <c r="C11" s="16" t="n">
        <v>39759.7</v>
      </c>
      <c r="D11" s="26" t="n">
        <v>39759.7</v>
      </c>
      <c r="E11" s="30" t="inlineStr">
        <is>
          <t>Below T1 - Minimum Requirement NOT met</t>
        </is>
      </c>
      <c r="F11" s="31" t="n">
        <v>0</v>
      </c>
    </row>
    <row r="12" ht="22" customHeight="1">
      <c r="A12" s="25" t="inlineStr">
        <is>
          <t>Abel Guaina</t>
        </is>
      </c>
      <c r="B12" s="14" t="inlineStr">
        <is>
          <t>January</t>
        </is>
      </c>
      <c r="C12" s="16" t="n">
        <v>38611.42</v>
      </c>
      <c r="D12" s="26" t="n">
        <v>38611.42</v>
      </c>
      <c r="E12" s="30" t="inlineStr">
        <is>
          <t>Below T1 - Minimum Requirement NOT met</t>
        </is>
      </c>
      <c r="F12" s="31" t="n">
        <v>0</v>
      </c>
    </row>
    <row r="13" ht="22" customHeight="1">
      <c r="A13" s="25" t="inlineStr">
        <is>
          <t>Abel Guaina</t>
        </is>
      </c>
      <c r="B13" s="14" t="inlineStr">
        <is>
          <t>April</t>
        </is>
      </c>
      <c r="C13" s="16" t="n">
        <v>37825.93</v>
      </c>
      <c r="D13" s="26" t="n">
        <v>37825.93</v>
      </c>
      <c r="E13" s="30" t="inlineStr">
        <is>
          <t>Below T1 - Minimum Requirement NOT met</t>
        </is>
      </c>
      <c r="F13" s="31" t="n">
        <v>0</v>
      </c>
    </row>
    <row r="14" ht="22" customHeight="1">
      <c r="A14" s="25" t="inlineStr">
        <is>
          <t>Melissa Hernandez</t>
        </is>
      </c>
      <c r="B14" s="14" t="inlineStr">
        <is>
          <t>January</t>
        </is>
      </c>
      <c r="C14" s="16" t="n">
        <v>37039</v>
      </c>
      <c r="D14" s="26" t="n">
        <v>37039</v>
      </c>
      <c r="E14" s="30" t="inlineStr">
        <is>
          <t>Below T1 - Minimum Requirement NOT met</t>
        </is>
      </c>
      <c r="F14" s="31" t="n">
        <v>0</v>
      </c>
    </row>
    <row r="15" ht="22" customHeight="1">
      <c r="A15" s="25" t="inlineStr">
        <is>
          <t>Monica Valdes</t>
        </is>
      </c>
      <c r="B15" s="14" t="inlineStr">
        <is>
          <t>February</t>
        </is>
      </c>
      <c r="C15" s="16" t="n">
        <v>31516.95</v>
      </c>
      <c r="D15" s="26" t="n">
        <v>31516.95</v>
      </c>
      <c r="E15" s="30" t="inlineStr">
        <is>
          <t>Below T1 - Minimum Requirement NOT met</t>
        </is>
      </c>
      <c r="F15" s="31" t="n">
        <v>0</v>
      </c>
    </row>
    <row r="16" ht="22" customHeight="1">
      <c r="A16" s="25" t="inlineStr">
        <is>
          <t>Flavia Parra</t>
        </is>
      </c>
      <c r="B16" s="14" t="inlineStr">
        <is>
          <t>March</t>
        </is>
      </c>
      <c r="C16" s="16" t="n">
        <v>31269</v>
      </c>
      <c r="D16" s="26" t="n">
        <v>31269</v>
      </c>
      <c r="E16" s="30" t="inlineStr">
        <is>
          <t>Below T1 - Minimum Requirement NOT met</t>
        </is>
      </c>
      <c r="F16" s="31" t="n">
        <v>0</v>
      </c>
    </row>
    <row r="17" ht="22" customHeight="1">
      <c r="A17" s="25" t="inlineStr">
        <is>
          <t>Dialinerys Dieguez</t>
        </is>
      </c>
      <c r="B17" s="14" t="inlineStr">
        <is>
          <t>February</t>
        </is>
      </c>
      <c r="C17" s="16" t="n">
        <v>30057.89</v>
      </c>
      <c r="D17" s="26" t="n">
        <v>30057.89</v>
      </c>
      <c r="E17" s="30" t="inlineStr">
        <is>
          <t>Below T1 - Minimum Requirement NOT met</t>
        </is>
      </c>
      <c r="F17" s="31" t="n">
        <v>0</v>
      </c>
    </row>
    <row r="18" ht="22" customHeight="1">
      <c r="A18" s="25" t="inlineStr">
        <is>
          <t>Monica Valdes</t>
        </is>
      </c>
      <c r="B18" s="14" t="inlineStr">
        <is>
          <t>April</t>
        </is>
      </c>
      <c r="C18" s="16" t="n">
        <v>29755.49</v>
      </c>
      <c r="D18" s="26" t="n">
        <v>29755.49</v>
      </c>
      <c r="E18" s="30" t="inlineStr">
        <is>
          <t>Below T1 - Minimum Requirement NOT met</t>
        </is>
      </c>
      <c r="F18" s="31" t="n">
        <v>0</v>
      </c>
    </row>
    <row r="19" ht="22" customHeight="1">
      <c r="A19" s="25" t="inlineStr">
        <is>
          <t>Flavia Parra</t>
        </is>
      </c>
      <c r="B19" s="14" t="inlineStr">
        <is>
          <t>April</t>
        </is>
      </c>
      <c r="C19" s="16" t="n">
        <v>29581.05</v>
      </c>
      <c r="D19" s="26" t="n">
        <v>29581.05</v>
      </c>
      <c r="E19" s="30" t="inlineStr">
        <is>
          <t>Below T1 - Minimum Requirement NOT met</t>
        </is>
      </c>
      <c r="F19" s="31" t="n">
        <v>0</v>
      </c>
    </row>
    <row r="20" ht="22" customHeight="1">
      <c r="A20" s="25" t="inlineStr">
        <is>
          <t>Monica Valdes</t>
        </is>
      </c>
      <c r="B20" s="14" t="inlineStr">
        <is>
          <t>January</t>
        </is>
      </c>
      <c r="C20" s="16" t="n">
        <v>28605.29</v>
      </c>
      <c r="D20" s="26" t="n">
        <v>28605.29</v>
      </c>
      <c r="E20" s="30" t="inlineStr">
        <is>
          <t>Below T1 - Minimum Requirement NOT met</t>
        </is>
      </c>
      <c r="F20" s="31" t="n">
        <v>0</v>
      </c>
    </row>
    <row r="21" ht="22" customHeight="1">
      <c r="A21" s="25" t="inlineStr">
        <is>
          <t>Flavia Parra</t>
        </is>
      </c>
      <c r="B21" s="14" t="inlineStr">
        <is>
          <t>January</t>
        </is>
      </c>
      <c r="C21" s="16" t="n">
        <v>28525.05</v>
      </c>
      <c r="D21" s="26" t="n">
        <v>28525.05</v>
      </c>
      <c r="E21" s="30" t="inlineStr">
        <is>
          <t>Below T1 - Minimum Requirement NOT met</t>
        </is>
      </c>
      <c r="F21" s="31" t="n">
        <v>0</v>
      </c>
    </row>
    <row r="22" ht="22" customHeight="1">
      <c r="A22" s="25" t="inlineStr">
        <is>
          <t>Abel Guaina</t>
        </is>
      </c>
      <c r="B22" s="14" t="inlineStr">
        <is>
          <t>February</t>
        </is>
      </c>
      <c r="C22" s="16" t="n">
        <v>25367</v>
      </c>
      <c r="D22" s="26" t="n">
        <v>25367</v>
      </c>
      <c r="E22" s="30" t="inlineStr">
        <is>
          <t>Below T1 - Minimum Requirement NOT met</t>
        </is>
      </c>
      <c r="F22" s="31" t="n">
        <v>0</v>
      </c>
    </row>
    <row r="23" ht="22" customHeight="1">
      <c r="A23" s="25" t="inlineStr">
        <is>
          <t>Flavia Parra</t>
        </is>
      </c>
      <c r="B23" s="14" t="inlineStr">
        <is>
          <t>February</t>
        </is>
      </c>
      <c r="C23" s="16" t="n">
        <v>22247.7</v>
      </c>
      <c r="D23" s="26" t="n">
        <v>22247.7</v>
      </c>
      <c r="E23" s="30" t="inlineStr">
        <is>
          <t>Below T1 - Minimum Requirement NOT met</t>
        </is>
      </c>
      <c r="F23" s="31" t="n">
        <v>0</v>
      </c>
    </row>
    <row r="24" ht="22" customHeight="1">
      <c r="A24" s="25" t="inlineStr">
        <is>
          <t>Thalia Rojas</t>
        </is>
      </c>
      <c r="B24" s="14" t="inlineStr">
        <is>
          <t>February</t>
        </is>
      </c>
      <c r="C24" s="16" t="n">
        <v>19414.25</v>
      </c>
      <c r="D24" s="26" t="n">
        <v>19414.25</v>
      </c>
      <c r="E24" s="30" t="inlineStr">
        <is>
          <t>Below T1 - Minimum Requirement NOT met</t>
        </is>
      </c>
      <c r="F24" s="31" t="n">
        <v>0</v>
      </c>
    </row>
    <row r="25" ht="22" customHeight="1">
      <c r="A25" s="25" t="inlineStr">
        <is>
          <t>Melissa Hernandez</t>
        </is>
      </c>
      <c r="B25" s="14" t="inlineStr">
        <is>
          <t>April</t>
        </is>
      </c>
      <c r="C25" s="16" t="n">
        <v>19288.35</v>
      </c>
      <c r="D25" s="26" t="n">
        <v>19288.35</v>
      </c>
      <c r="E25" s="30" t="inlineStr">
        <is>
          <t>Below T1 - Minimum Requirement NOT met</t>
        </is>
      </c>
      <c r="F25" s="31" t="n">
        <v>0</v>
      </c>
    </row>
    <row r="26" ht="22" customHeight="1">
      <c r="A26" s="25" t="inlineStr">
        <is>
          <t>Thalia Rojas</t>
        </is>
      </c>
      <c r="B26" s="14" t="inlineStr">
        <is>
          <t>March</t>
        </is>
      </c>
      <c r="C26" s="16" t="n">
        <v>17843.69</v>
      </c>
      <c r="D26" s="26" t="n">
        <v>17843.69</v>
      </c>
      <c r="E26" s="30" t="inlineStr">
        <is>
          <t>Below T1 - Minimum Requirement NOT met</t>
        </is>
      </c>
      <c r="F26" s="31" t="n">
        <v>0</v>
      </c>
    </row>
    <row r="27" ht="22" customHeight="1">
      <c r="A27" s="25" t="inlineStr">
        <is>
          <t>Thalia Rojas</t>
        </is>
      </c>
      <c r="B27" s="14" t="inlineStr">
        <is>
          <t>January</t>
        </is>
      </c>
      <c r="C27" s="16" t="n">
        <v>15503.9</v>
      </c>
      <c r="D27" s="26" t="n">
        <v>15503.9</v>
      </c>
      <c r="E27" s="30" t="inlineStr">
        <is>
          <t>Below T1 - Minimum Requirement NOT met</t>
        </is>
      </c>
      <c r="F27" s="31" t="n">
        <v>0</v>
      </c>
    </row>
    <row r="28" ht="22" customHeight="1">
      <c r="A28" s="25" t="inlineStr">
        <is>
          <t>Thalia Rojas</t>
        </is>
      </c>
      <c r="B28" s="14" t="inlineStr">
        <is>
          <t>April</t>
        </is>
      </c>
      <c r="C28" s="16" t="n">
        <v>14099</v>
      </c>
      <c r="D28" s="26" t="n">
        <v>14099</v>
      </c>
      <c r="E28" s="30" t="inlineStr">
        <is>
          <t>Below T1 - Minimum Requirement NOT met</t>
        </is>
      </c>
      <c r="F28" s="31" t="n">
        <v>0</v>
      </c>
    </row>
    <row r="29" ht="22" customHeight="1">
      <c r="A29" s="25" t="inlineStr">
        <is>
          <t>Melissa Hernandez</t>
        </is>
      </c>
      <c r="B29" s="14" t="inlineStr">
        <is>
          <t>February</t>
        </is>
      </c>
      <c r="C29" s="16" t="n">
        <v>7659.5</v>
      </c>
      <c r="D29" s="26" t="n">
        <v>7659.5</v>
      </c>
      <c r="E29" s="30" t="inlineStr">
        <is>
          <t>Below T1 - Minimum Requirement NOT met</t>
        </is>
      </c>
      <c r="F29" s="31" t="n">
        <v>0</v>
      </c>
    </row>
    <row r="30" ht="20" customHeight="1">
      <c r="A30" s="4" t="inlineStr">
        <is>
          <t>NB tiers: T1 $45k=$250 | T2 $55k=$375 | T3 $70k=$525 | T4 $85k=$725 | T5 $100k=$1,000 | Above $100k: +$50 per $5k. Minimum requirement = $45k NB premium.</t>
        </is>
      </c>
    </row>
    <row r="32" ht="22" customHeight="1">
      <c r="A32" s="5" t="inlineStr">
        <is>
          <t>SCENARIO 2: 50% SWAP (half of RWR -&gt; REN)</t>
        </is>
      </c>
    </row>
    <row r="33" ht="26" customHeight="1">
      <c r="A33" s="6" t="inlineStr">
        <is>
          <t>Agent</t>
        </is>
      </c>
      <c r="B33" s="6" t="inlineStr">
        <is>
          <t>Month</t>
        </is>
      </c>
      <c r="C33" s="6" t="inlineStr">
        <is>
          <t>NB Premium</t>
        </is>
      </c>
      <c r="D33" s="6" t="inlineStr">
        <is>
          <t>Progress Bar</t>
        </is>
      </c>
      <c r="E33" s="6" t="inlineStr">
        <is>
          <t>Tier</t>
        </is>
      </c>
      <c r="F33" s="6" t="inlineStr">
        <is>
          <t>Total Bonus $</t>
        </is>
      </c>
    </row>
    <row r="34" ht="22" customHeight="1">
      <c r="A34" s="25" t="inlineStr">
        <is>
          <t>Monica Valdes</t>
        </is>
      </c>
      <c r="B34" s="14" t="inlineStr">
        <is>
          <t>March</t>
        </is>
      </c>
      <c r="C34" s="16" t="n">
        <v>68546.22</v>
      </c>
      <c r="D34" s="26" t="n">
        <v>68546.22</v>
      </c>
      <c r="E34" s="27" t="inlineStr">
        <is>
          <t>Tier 2 (T2 $55k) - $375</t>
        </is>
      </c>
      <c r="F34" s="28" t="n">
        <v>375</v>
      </c>
    </row>
    <row r="35" ht="22" customHeight="1">
      <c r="A35" s="25" t="inlineStr">
        <is>
          <t>Dialinerys Dieguez</t>
        </is>
      </c>
      <c r="B35" s="14" t="inlineStr">
        <is>
          <t>March</t>
        </is>
      </c>
      <c r="C35" s="16" t="n">
        <v>52434.9</v>
      </c>
      <c r="D35" s="26" t="n">
        <v>52434.9</v>
      </c>
      <c r="E35" s="29" t="inlineStr">
        <is>
          <t>Tier 1 (T1 $45k) - $250</t>
        </is>
      </c>
      <c r="F35" s="28" t="n">
        <v>250</v>
      </c>
    </row>
    <row r="36" ht="22" customHeight="1">
      <c r="A36" s="25" t="inlineStr">
        <is>
          <t>Dialinerys Dieguez</t>
        </is>
      </c>
      <c r="B36" s="14" t="inlineStr">
        <is>
          <t>April</t>
        </is>
      </c>
      <c r="C36" s="16" t="n">
        <v>49689.35</v>
      </c>
      <c r="D36" s="26" t="n">
        <v>49689.35</v>
      </c>
      <c r="E36" s="29" t="inlineStr">
        <is>
          <t>Tier 1 (T1 $45k) - $250</t>
        </is>
      </c>
      <c r="F36" s="28" t="n">
        <v>250</v>
      </c>
    </row>
    <row r="37" ht="22" customHeight="1">
      <c r="A37" s="25" t="inlineStr">
        <is>
          <t>Abel Guaina</t>
        </is>
      </c>
      <c r="B37" s="14" t="inlineStr">
        <is>
          <t>March</t>
        </is>
      </c>
      <c r="C37" s="16" t="n">
        <v>46523.37</v>
      </c>
      <c r="D37" s="26" t="n">
        <v>46523.37</v>
      </c>
      <c r="E37" s="29" t="inlineStr">
        <is>
          <t>Tier 1 (T1 $45k) - $250</t>
        </is>
      </c>
      <c r="F37" s="28" t="n">
        <v>250</v>
      </c>
    </row>
    <row r="38" ht="22" customHeight="1">
      <c r="A38" s="25" t="inlineStr">
        <is>
          <t>Dialinerys Dieguez</t>
        </is>
      </c>
      <c r="B38" s="14" t="inlineStr">
        <is>
          <t>January</t>
        </is>
      </c>
      <c r="C38" s="16" t="n">
        <v>40249.26</v>
      </c>
      <c r="D38" s="26" t="n">
        <v>40249.26</v>
      </c>
      <c r="E38" s="30" t="inlineStr">
        <is>
          <t>Below T1 - Minimum Requirement NOT met</t>
        </is>
      </c>
      <c r="F38" s="31" t="n">
        <v>0</v>
      </c>
    </row>
    <row r="39" ht="22" customHeight="1">
      <c r="A39" s="25" t="inlineStr">
        <is>
          <t>Melissa Hernandez</t>
        </is>
      </c>
      <c r="B39" s="14" t="inlineStr">
        <is>
          <t>March</t>
        </is>
      </c>
      <c r="C39" s="16" t="n">
        <v>39759.7</v>
      </c>
      <c r="D39" s="26" t="n">
        <v>39759.7</v>
      </c>
      <c r="E39" s="30" t="inlineStr">
        <is>
          <t>Below T1 - Minimum Requirement NOT met</t>
        </is>
      </c>
      <c r="F39" s="31" t="n">
        <v>0</v>
      </c>
    </row>
    <row r="40" ht="22" customHeight="1">
      <c r="A40" s="25" t="inlineStr">
        <is>
          <t>Abel Guaina</t>
        </is>
      </c>
      <c r="B40" s="14" t="inlineStr">
        <is>
          <t>January</t>
        </is>
      </c>
      <c r="C40" s="16" t="n">
        <v>38611.42</v>
      </c>
      <c r="D40" s="26" t="n">
        <v>38611.42</v>
      </c>
      <c r="E40" s="30" t="inlineStr">
        <is>
          <t>Below T1 - Minimum Requirement NOT met</t>
        </is>
      </c>
      <c r="F40" s="31" t="n">
        <v>0</v>
      </c>
    </row>
    <row r="41" ht="22" customHeight="1">
      <c r="A41" s="25" t="inlineStr">
        <is>
          <t>Abel Guaina</t>
        </is>
      </c>
      <c r="B41" s="14" t="inlineStr">
        <is>
          <t>April</t>
        </is>
      </c>
      <c r="C41" s="16" t="n">
        <v>37825.93</v>
      </c>
      <c r="D41" s="26" t="n">
        <v>37825.93</v>
      </c>
      <c r="E41" s="30" t="inlineStr">
        <is>
          <t>Below T1 - Minimum Requirement NOT met</t>
        </is>
      </c>
      <c r="F41" s="31" t="n">
        <v>0</v>
      </c>
    </row>
    <row r="42" ht="22" customHeight="1">
      <c r="A42" s="25" t="inlineStr">
        <is>
          <t>Melissa Hernandez</t>
        </is>
      </c>
      <c r="B42" s="14" t="inlineStr">
        <is>
          <t>January</t>
        </is>
      </c>
      <c r="C42" s="16" t="n">
        <v>37039</v>
      </c>
      <c r="D42" s="26" t="n">
        <v>37039</v>
      </c>
      <c r="E42" s="30" t="inlineStr">
        <is>
          <t>Below T1 - Minimum Requirement NOT met</t>
        </is>
      </c>
      <c r="F42" s="31" t="n">
        <v>0</v>
      </c>
    </row>
    <row r="43" ht="22" customHeight="1">
      <c r="A43" s="25" t="inlineStr">
        <is>
          <t>Monica Valdes</t>
        </is>
      </c>
      <c r="B43" s="14" t="inlineStr">
        <is>
          <t>February</t>
        </is>
      </c>
      <c r="C43" s="16" t="n">
        <v>31516.95</v>
      </c>
      <c r="D43" s="26" t="n">
        <v>31516.95</v>
      </c>
      <c r="E43" s="30" t="inlineStr">
        <is>
          <t>Below T1 - Minimum Requirement NOT met</t>
        </is>
      </c>
      <c r="F43" s="31" t="n">
        <v>0</v>
      </c>
    </row>
    <row r="44" ht="22" customHeight="1">
      <c r="A44" s="25" t="inlineStr">
        <is>
          <t>Flavia Parra</t>
        </is>
      </c>
      <c r="B44" s="14" t="inlineStr">
        <is>
          <t>March</t>
        </is>
      </c>
      <c r="C44" s="16" t="n">
        <v>31269</v>
      </c>
      <c r="D44" s="26" t="n">
        <v>31269</v>
      </c>
      <c r="E44" s="30" t="inlineStr">
        <is>
          <t>Below T1 - Minimum Requirement NOT met</t>
        </is>
      </c>
      <c r="F44" s="31" t="n">
        <v>0</v>
      </c>
    </row>
    <row r="45" ht="22" customHeight="1">
      <c r="A45" s="25" t="inlineStr">
        <is>
          <t>Dialinerys Dieguez</t>
        </is>
      </c>
      <c r="B45" s="14" t="inlineStr">
        <is>
          <t>February</t>
        </is>
      </c>
      <c r="C45" s="16" t="n">
        <v>30057.89</v>
      </c>
      <c r="D45" s="26" t="n">
        <v>30057.89</v>
      </c>
      <c r="E45" s="30" t="inlineStr">
        <is>
          <t>Below T1 - Minimum Requirement NOT met</t>
        </is>
      </c>
      <c r="F45" s="31" t="n">
        <v>0</v>
      </c>
    </row>
    <row r="46" ht="22" customHeight="1">
      <c r="A46" s="25" t="inlineStr">
        <is>
          <t>Monica Valdes</t>
        </is>
      </c>
      <c r="B46" s="14" t="inlineStr">
        <is>
          <t>April</t>
        </is>
      </c>
      <c r="C46" s="16" t="n">
        <v>29755.49</v>
      </c>
      <c r="D46" s="26" t="n">
        <v>29755.49</v>
      </c>
      <c r="E46" s="30" t="inlineStr">
        <is>
          <t>Below T1 - Minimum Requirement NOT met</t>
        </is>
      </c>
      <c r="F46" s="31" t="n">
        <v>0</v>
      </c>
    </row>
    <row r="47" ht="22" customHeight="1">
      <c r="A47" s="25" t="inlineStr">
        <is>
          <t>Flavia Parra</t>
        </is>
      </c>
      <c r="B47" s="14" t="inlineStr">
        <is>
          <t>April</t>
        </is>
      </c>
      <c r="C47" s="16" t="n">
        <v>29581.05</v>
      </c>
      <c r="D47" s="26" t="n">
        <v>29581.05</v>
      </c>
      <c r="E47" s="30" t="inlineStr">
        <is>
          <t>Below T1 - Minimum Requirement NOT met</t>
        </is>
      </c>
      <c r="F47" s="31" t="n">
        <v>0</v>
      </c>
    </row>
    <row r="48" ht="22" customHeight="1">
      <c r="A48" s="25" t="inlineStr">
        <is>
          <t>Monica Valdes</t>
        </is>
      </c>
      <c r="B48" s="14" t="inlineStr">
        <is>
          <t>January</t>
        </is>
      </c>
      <c r="C48" s="16" t="n">
        <v>28605.29</v>
      </c>
      <c r="D48" s="26" t="n">
        <v>28605.29</v>
      </c>
      <c r="E48" s="30" t="inlineStr">
        <is>
          <t>Below T1 - Minimum Requirement NOT met</t>
        </is>
      </c>
      <c r="F48" s="31" t="n">
        <v>0</v>
      </c>
    </row>
    <row r="49" ht="22" customHeight="1">
      <c r="A49" s="25" t="inlineStr">
        <is>
          <t>Flavia Parra</t>
        </is>
      </c>
      <c r="B49" s="14" t="inlineStr">
        <is>
          <t>January</t>
        </is>
      </c>
      <c r="C49" s="16" t="n">
        <v>28525.05</v>
      </c>
      <c r="D49" s="26" t="n">
        <v>28525.05</v>
      </c>
      <c r="E49" s="30" t="inlineStr">
        <is>
          <t>Below T1 - Minimum Requirement NOT met</t>
        </is>
      </c>
      <c r="F49" s="31" t="n">
        <v>0</v>
      </c>
    </row>
    <row r="50" ht="22" customHeight="1">
      <c r="A50" s="25" t="inlineStr">
        <is>
          <t>Abel Guaina</t>
        </is>
      </c>
      <c r="B50" s="14" t="inlineStr">
        <is>
          <t>February</t>
        </is>
      </c>
      <c r="C50" s="16" t="n">
        <v>25367</v>
      </c>
      <c r="D50" s="26" t="n">
        <v>25367</v>
      </c>
      <c r="E50" s="30" t="inlineStr">
        <is>
          <t>Below T1 - Minimum Requirement NOT met</t>
        </is>
      </c>
      <c r="F50" s="31" t="n">
        <v>0</v>
      </c>
    </row>
    <row r="51" ht="22" customHeight="1">
      <c r="A51" s="25" t="inlineStr">
        <is>
          <t>Flavia Parra</t>
        </is>
      </c>
      <c r="B51" s="14" t="inlineStr">
        <is>
          <t>February</t>
        </is>
      </c>
      <c r="C51" s="16" t="n">
        <v>22247.7</v>
      </c>
      <c r="D51" s="26" t="n">
        <v>22247.7</v>
      </c>
      <c r="E51" s="30" t="inlineStr">
        <is>
          <t>Below T1 - Minimum Requirement NOT met</t>
        </is>
      </c>
      <c r="F51" s="31" t="n">
        <v>0</v>
      </c>
    </row>
    <row r="52" ht="22" customHeight="1">
      <c r="A52" s="25" t="inlineStr">
        <is>
          <t>Thalia Rojas</t>
        </is>
      </c>
      <c r="B52" s="14" t="inlineStr">
        <is>
          <t>February</t>
        </is>
      </c>
      <c r="C52" s="16" t="n">
        <v>19414.25</v>
      </c>
      <c r="D52" s="26" t="n">
        <v>19414.25</v>
      </c>
      <c r="E52" s="30" t="inlineStr">
        <is>
          <t>Below T1 - Minimum Requirement NOT met</t>
        </is>
      </c>
      <c r="F52" s="31" t="n">
        <v>0</v>
      </c>
    </row>
    <row r="53" ht="22" customHeight="1">
      <c r="A53" s="25" t="inlineStr">
        <is>
          <t>Melissa Hernandez</t>
        </is>
      </c>
      <c r="B53" s="14" t="inlineStr">
        <is>
          <t>April</t>
        </is>
      </c>
      <c r="C53" s="16" t="n">
        <v>19288.35</v>
      </c>
      <c r="D53" s="26" t="n">
        <v>19288.35</v>
      </c>
      <c r="E53" s="30" t="inlineStr">
        <is>
          <t>Below T1 - Minimum Requirement NOT met</t>
        </is>
      </c>
      <c r="F53" s="31" t="n">
        <v>0</v>
      </c>
    </row>
    <row r="54" ht="22" customHeight="1">
      <c r="A54" s="25" t="inlineStr">
        <is>
          <t>Thalia Rojas</t>
        </is>
      </c>
      <c r="B54" s="14" t="inlineStr">
        <is>
          <t>March</t>
        </is>
      </c>
      <c r="C54" s="16" t="n">
        <v>17843.69</v>
      </c>
      <c r="D54" s="26" t="n">
        <v>17843.69</v>
      </c>
      <c r="E54" s="30" t="inlineStr">
        <is>
          <t>Below T1 - Minimum Requirement NOT met</t>
        </is>
      </c>
      <c r="F54" s="31" t="n">
        <v>0</v>
      </c>
    </row>
    <row r="55" ht="22" customHeight="1">
      <c r="A55" s="25" t="inlineStr">
        <is>
          <t>Thalia Rojas</t>
        </is>
      </c>
      <c r="B55" s="14" t="inlineStr">
        <is>
          <t>January</t>
        </is>
      </c>
      <c r="C55" s="16" t="n">
        <v>15503.9</v>
      </c>
      <c r="D55" s="26" t="n">
        <v>15503.9</v>
      </c>
      <c r="E55" s="30" t="inlineStr">
        <is>
          <t>Below T1 - Minimum Requirement NOT met</t>
        </is>
      </c>
      <c r="F55" s="31" t="n">
        <v>0</v>
      </c>
    </row>
    <row r="56" ht="22" customHeight="1">
      <c r="A56" s="25" t="inlineStr">
        <is>
          <t>Thalia Rojas</t>
        </is>
      </c>
      <c r="B56" s="14" t="inlineStr">
        <is>
          <t>April</t>
        </is>
      </c>
      <c r="C56" s="16" t="n">
        <v>14099</v>
      </c>
      <c r="D56" s="26" t="n">
        <v>14099</v>
      </c>
      <c r="E56" s="30" t="inlineStr">
        <is>
          <t>Below T1 - Minimum Requirement NOT met</t>
        </is>
      </c>
      <c r="F56" s="31" t="n">
        <v>0</v>
      </c>
    </row>
    <row r="57" ht="22" customHeight="1">
      <c r="A57" s="25" t="inlineStr">
        <is>
          <t>Melissa Hernandez</t>
        </is>
      </c>
      <c r="B57" s="14" t="inlineStr">
        <is>
          <t>February</t>
        </is>
      </c>
      <c r="C57" s="16" t="n">
        <v>7659.5</v>
      </c>
      <c r="D57" s="26" t="n">
        <v>7659.5</v>
      </c>
      <c r="E57" s="30" t="inlineStr">
        <is>
          <t>Below T1 - Minimum Requirement NOT met</t>
        </is>
      </c>
      <c r="F57" s="31" t="n">
        <v>0</v>
      </c>
    </row>
    <row r="58" ht="20" customHeight="1">
      <c r="A58" s="4" t="inlineStr">
        <is>
          <t>NB tiers: T1 $45k=$250 | T2 $55k=$375 | T3 $70k=$525 | T4 $85k=$725 | T5 $100k=$1,000 | Above $100k: +$50 per $5k. Minimum requirement = $45k NB premium.</t>
        </is>
      </c>
    </row>
    <row r="60" ht="22" customHeight="1">
      <c r="A60" s="5" t="inlineStr">
        <is>
          <t>SCENARIO 3: 100% FLIP (RWR fully -&gt; REN)</t>
        </is>
      </c>
    </row>
    <row r="61" ht="26" customHeight="1">
      <c r="A61" s="6" t="inlineStr">
        <is>
          <t>Agent</t>
        </is>
      </c>
      <c r="B61" s="6" t="inlineStr">
        <is>
          <t>Month</t>
        </is>
      </c>
      <c r="C61" s="6" t="inlineStr">
        <is>
          <t>NB Premium</t>
        </is>
      </c>
      <c r="D61" s="6" t="inlineStr">
        <is>
          <t>Progress Bar</t>
        </is>
      </c>
      <c r="E61" s="6" t="inlineStr">
        <is>
          <t>Tier</t>
        </is>
      </c>
      <c r="F61" s="6" t="inlineStr">
        <is>
          <t>Total Bonus $</t>
        </is>
      </c>
    </row>
    <row r="62" ht="22" customHeight="1">
      <c r="A62" s="25" t="inlineStr">
        <is>
          <t>Monica Valdes</t>
        </is>
      </c>
      <c r="B62" s="14" t="inlineStr">
        <is>
          <t>March</t>
        </is>
      </c>
      <c r="C62" s="16" t="n">
        <v>68546.22</v>
      </c>
      <c r="D62" s="26" t="n">
        <v>68546.22</v>
      </c>
      <c r="E62" s="27" t="inlineStr">
        <is>
          <t>Tier 2 (T2 $55k) - $375</t>
        </is>
      </c>
      <c r="F62" s="28" t="n">
        <v>375</v>
      </c>
    </row>
    <row r="63" ht="22" customHeight="1">
      <c r="A63" s="25" t="inlineStr">
        <is>
          <t>Dialinerys Dieguez</t>
        </is>
      </c>
      <c r="B63" s="14" t="inlineStr">
        <is>
          <t>March</t>
        </is>
      </c>
      <c r="C63" s="16" t="n">
        <v>52434.9</v>
      </c>
      <c r="D63" s="26" t="n">
        <v>52434.9</v>
      </c>
      <c r="E63" s="29" t="inlineStr">
        <is>
          <t>Tier 1 (T1 $45k) - $250</t>
        </is>
      </c>
      <c r="F63" s="28" t="n">
        <v>250</v>
      </c>
    </row>
    <row r="64" ht="22" customHeight="1">
      <c r="A64" s="25" t="inlineStr">
        <is>
          <t>Dialinerys Dieguez</t>
        </is>
      </c>
      <c r="B64" s="14" t="inlineStr">
        <is>
          <t>April</t>
        </is>
      </c>
      <c r="C64" s="16" t="n">
        <v>49689.35</v>
      </c>
      <c r="D64" s="26" t="n">
        <v>49689.35</v>
      </c>
      <c r="E64" s="29" t="inlineStr">
        <is>
          <t>Tier 1 (T1 $45k) - $250</t>
        </is>
      </c>
      <c r="F64" s="28" t="n">
        <v>250</v>
      </c>
    </row>
    <row r="65" ht="22" customHeight="1">
      <c r="A65" s="25" t="inlineStr">
        <is>
          <t>Abel Guaina</t>
        </is>
      </c>
      <c r="B65" s="14" t="inlineStr">
        <is>
          <t>March</t>
        </is>
      </c>
      <c r="C65" s="16" t="n">
        <v>46523.37</v>
      </c>
      <c r="D65" s="26" t="n">
        <v>46523.37</v>
      </c>
      <c r="E65" s="29" t="inlineStr">
        <is>
          <t>Tier 1 (T1 $45k) - $250</t>
        </is>
      </c>
      <c r="F65" s="28" t="n">
        <v>250</v>
      </c>
    </row>
    <row r="66" ht="22" customHeight="1">
      <c r="A66" s="25" t="inlineStr">
        <is>
          <t>Dialinerys Dieguez</t>
        </is>
      </c>
      <c r="B66" s="14" t="inlineStr">
        <is>
          <t>January</t>
        </is>
      </c>
      <c r="C66" s="16" t="n">
        <v>40249.26</v>
      </c>
      <c r="D66" s="26" t="n">
        <v>40249.26</v>
      </c>
      <c r="E66" s="30" t="inlineStr">
        <is>
          <t>Below T1 - Minimum Requirement NOT met</t>
        </is>
      </c>
      <c r="F66" s="31" t="n">
        <v>0</v>
      </c>
    </row>
    <row r="67" ht="22" customHeight="1">
      <c r="A67" s="25" t="inlineStr">
        <is>
          <t>Melissa Hernandez</t>
        </is>
      </c>
      <c r="B67" s="14" t="inlineStr">
        <is>
          <t>March</t>
        </is>
      </c>
      <c r="C67" s="16" t="n">
        <v>39759.7</v>
      </c>
      <c r="D67" s="26" t="n">
        <v>39759.7</v>
      </c>
      <c r="E67" s="30" t="inlineStr">
        <is>
          <t>Below T1 - Minimum Requirement NOT met</t>
        </is>
      </c>
      <c r="F67" s="31" t="n">
        <v>0</v>
      </c>
    </row>
    <row r="68" ht="22" customHeight="1">
      <c r="A68" s="25" t="inlineStr">
        <is>
          <t>Abel Guaina</t>
        </is>
      </c>
      <c r="B68" s="14" t="inlineStr">
        <is>
          <t>January</t>
        </is>
      </c>
      <c r="C68" s="16" t="n">
        <v>38611.42</v>
      </c>
      <c r="D68" s="26" t="n">
        <v>38611.42</v>
      </c>
      <c r="E68" s="30" t="inlineStr">
        <is>
          <t>Below T1 - Minimum Requirement NOT met</t>
        </is>
      </c>
      <c r="F68" s="31" t="n">
        <v>0</v>
      </c>
    </row>
    <row r="69" ht="22" customHeight="1">
      <c r="A69" s="25" t="inlineStr">
        <is>
          <t>Abel Guaina</t>
        </is>
      </c>
      <c r="B69" s="14" t="inlineStr">
        <is>
          <t>April</t>
        </is>
      </c>
      <c r="C69" s="16" t="n">
        <v>37825.93</v>
      </c>
      <c r="D69" s="26" t="n">
        <v>37825.93</v>
      </c>
      <c r="E69" s="30" t="inlineStr">
        <is>
          <t>Below T1 - Minimum Requirement NOT met</t>
        </is>
      </c>
      <c r="F69" s="31" t="n">
        <v>0</v>
      </c>
    </row>
    <row r="70" ht="22" customHeight="1">
      <c r="A70" s="25" t="inlineStr">
        <is>
          <t>Melissa Hernandez</t>
        </is>
      </c>
      <c r="B70" s="14" t="inlineStr">
        <is>
          <t>January</t>
        </is>
      </c>
      <c r="C70" s="16" t="n">
        <v>37039</v>
      </c>
      <c r="D70" s="26" t="n">
        <v>37039</v>
      </c>
      <c r="E70" s="30" t="inlineStr">
        <is>
          <t>Below T1 - Minimum Requirement NOT met</t>
        </is>
      </c>
      <c r="F70" s="31" t="n">
        <v>0</v>
      </c>
    </row>
    <row r="71" ht="22" customHeight="1">
      <c r="A71" s="25" t="inlineStr">
        <is>
          <t>Monica Valdes</t>
        </is>
      </c>
      <c r="B71" s="14" t="inlineStr">
        <is>
          <t>February</t>
        </is>
      </c>
      <c r="C71" s="16" t="n">
        <v>31516.95</v>
      </c>
      <c r="D71" s="26" t="n">
        <v>31516.95</v>
      </c>
      <c r="E71" s="30" t="inlineStr">
        <is>
          <t>Below T1 - Minimum Requirement NOT met</t>
        </is>
      </c>
      <c r="F71" s="31" t="n">
        <v>0</v>
      </c>
    </row>
    <row r="72" ht="22" customHeight="1">
      <c r="A72" s="25" t="inlineStr">
        <is>
          <t>Flavia Parra</t>
        </is>
      </c>
      <c r="B72" s="14" t="inlineStr">
        <is>
          <t>March</t>
        </is>
      </c>
      <c r="C72" s="16" t="n">
        <v>31269</v>
      </c>
      <c r="D72" s="26" t="n">
        <v>31269</v>
      </c>
      <c r="E72" s="30" t="inlineStr">
        <is>
          <t>Below T1 - Minimum Requirement NOT met</t>
        </is>
      </c>
      <c r="F72" s="31" t="n">
        <v>0</v>
      </c>
    </row>
    <row r="73" ht="22" customHeight="1">
      <c r="A73" s="25" t="inlineStr">
        <is>
          <t>Dialinerys Dieguez</t>
        </is>
      </c>
      <c r="B73" s="14" t="inlineStr">
        <is>
          <t>February</t>
        </is>
      </c>
      <c r="C73" s="16" t="n">
        <v>30057.89</v>
      </c>
      <c r="D73" s="26" t="n">
        <v>30057.89</v>
      </c>
      <c r="E73" s="30" t="inlineStr">
        <is>
          <t>Below T1 - Minimum Requirement NOT met</t>
        </is>
      </c>
      <c r="F73" s="31" t="n">
        <v>0</v>
      </c>
    </row>
    <row r="74" ht="22" customHeight="1">
      <c r="A74" s="25" t="inlineStr">
        <is>
          <t>Monica Valdes</t>
        </is>
      </c>
      <c r="B74" s="14" t="inlineStr">
        <is>
          <t>April</t>
        </is>
      </c>
      <c r="C74" s="16" t="n">
        <v>29755.49</v>
      </c>
      <c r="D74" s="26" t="n">
        <v>29755.49</v>
      </c>
      <c r="E74" s="30" t="inlineStr">
        <is>
          <t>Below T1 - Minimum Requirement NOT met</t>
        </is>
      </c>
      <c r="F74" s="31" t="n">
        <v>0</v>
      </c>
    </row>
    <row r="75" ht="22" customHeight="1">
      <c r="A75" s="25" t="inlineStr">
        <is>
          <t>Flavia Parra</t>
        </is>
      </c>
      <c r="B75" s="14" t="inlineStr">
        <is>
          <t>April</t>
        </is>
      </c>
      <c r="C75" s="16" t="n">
        <v>29581.05</v>
      </c>
      <c r="D75" s="26" t="n">
        <v>29581.05</v>
      </c>
      <c r="E75" s="30" t="inlineStr">
        <is>
          <t>Below T1 - Minimum Requirement NOT met</t>
        </is>
      </c>
      <c r="F75" s="31" t="n">
        <v>0</v>
      </c>
    </row>
    <row r="76" ht="22" customHeight="1">
      <c r="A76" s="25" t="inlineStr">
        <is>
          <t>Monica Valdes</t>
        </is>
      </c>
      <c r="B76" s="14" t="inlineStr">
        <is>
          <t>January</t>
        </is>
      </c>
      <c r="C76" s="16" t="n">
        <v>28605.29</v>
      </c>
      <c r="D76" s="26" t="n">
        <v>28605.29</v>
      </c>
      <c r="E76" s="30" t="inlineStr">
        <is>
          <t>Below T1 - Minimum Requirement NOT met</t>
        </is>
      </c>
      <c r="F76" s="31" t="n">
        <v>0</v>
      </c>
    </row>
    <row r="77" ht="22" customHeight="1">
      <c r="A77" s="25" t="inlineStr">
        <is>
          <t>Flavia Parra</t>
        </is>
      </c>
      <c r="B77" s="14" t="inlineStr">
        <is>
          <t>January</t>
        </is>
      </c>
      <c r="C77" s="16" t="n">
        <v>28525.05</v>
      </c>
      <c r="D77" s="26" t="n">
        <v>28525.05</v>
      </c>
      <c r="E77" s="30" t="inlineStr">
        <is>
          <t>Below T1 - Minimum Requirement NOT met</t>
        </is>
      </c>
      <c r="F77" s="31" t="n">
        <v>0</v>
      </c>
    </row>
    <row r="78" ht="22" customHeight="1">
      <c r="A78" s="25" t="inlineStr">
        <is>
          <t>Abel Guaina</t>
        </is>
      </c>
      <c r="B78" s="14" t="inlineStr">
        <is>
          <t>February</t>
        </is>
      </c>
      <c r="C78" s="16" t="n">
        <v>25367</v>
      </c>
      <c r="D78" s="26" t="n">
        <v>25367</v>
      </c>
      <c r="E78" s="30" t="inlineStr">
        <is>
          <t>Below T1 - Minimum Requirement NOT met</t>
        </is>
      </c>
      <c r="F78" s="31" t="n">
        <v>0</v>
      </c>
    </row>
    <row r="79" ht="22" customHeight="1">
      <c r="A79" s="25" t="inlineStr">
        <is>
          <t>Flavia Parra</t>
        </is>
      </c>
      <c r="B79" s="14" t="inlineStr">
        <is>
          <t>February</t>
        </is>
      </c>
      <c r="C79" s="16" t="n">
        <v>22247.7</v>
      </c>
      <c r="D79" s="26" t="n">
        <v>22247.7</v>
      </c>
      <c r="E79" s="30" t="inlineStr">
        <is>
          <t>Below T1 - Minimum Requirement NOT met</t>
        </is>
      </c>
      <c r="F79" s="31" t="n">
        <v>0</v>
      </c>
    </row>
    <row r="80" ht="22" customHeight="1">
      <c r="A80" s="25" t="inlineStr">
        <is>
          <t>Thalia Rojas</t>
        </is>
      </c>
      <c r="B80" s="14" t="inlineStr">
        <is>
          <t>February</t>
        </is>
      </c>
      <c r="C80" s="16" t="n">
        <v>19414.25</v>
      </c>
      <c r="D80" s="26" t="n">
        <v>19414.25</v>
      </c>
      <c r="E80" s="30" t="inlineStr">
        <is>
          <t>Below T1 - Minimum Requirement NOT met</t>
        </is>
      </c>
      <c r="F80" s="31" t="n">
        <v>0</v>
      </c>
    </row>
    <row r="81" ht="22" customHeight="1">
      <c r="A81" s="25" t="inlineStr">
        <is>
          <t>Melissa Hernandez</t>
        </is>
      </c>
      <c r="B81" s="14" t="inlineStr">
        <is>
          <t>April</t>
        </is>
      </c>
      <c r="C81" s="16" t="n">
        <v>19288.35</v>
      </c>
      <c r="D81" s="26" t="n">
        <v>19288.35</v>
      </c>
      <c r="E81" s="30" t="inlineStr">
        <is>
          <t>Below T1 - Minimum Requirement NOT met</t>
        </is>
      </c>
      <c r="F81" s="31" t="n">
        <v>0</v>
      </c>
    </row>
    <row r="82" ht="22" customHeight="1">
      <c r="A82" s="25" t="inlineStr">
        <is>
          <t>Thalia Rojas</t>
        </is>
      </c>
      <c r="B82" s="14" t="inlineStr">
        <is>
          <t>March</t>
        </is>
      </c>
      <c r="C82" s="16" t="n">
        <v>17843.69</v>
      </c>
      <c r="D82" s="26" t="n">
        <v>17843.69</v>
      </c>
      <c r="E82" s="30" t="inlineStr">
        <is>
          <t>Below T1 - Minimum Requirement NOT met</t>
        </is>
      </c>
      <c r="F82" s="31" t="n">
        <v>0</v>
      </c>
    </row>
    <row r="83" ht="22" customHeight="1">
      <c r="A83" s="25" t="inlineStr">
        <is>
          <t>Thalia Rojas</t>
        </is>
      </c>
      <c r="B83" s="14" t="inlineStr">
        <is>
          <t>January</t>
        </is>
      </c>
      <c r="C83" s="16" t="n">
        <v>15503.9</v>
      </c>
      <c r="D83" s="26" t="n">
        <v>15503.9</v>
      </c>
      <c r="E83" s="30" t="inlineStr">
        <is>
          <t>Below T1 - Minimum Requirement NOT met</t>
        </is>
      </c>
      <c r="F83" s="31" t="n">
        <v>0</v>
      </c>
    </row>
    <row r="84" ht="22" customHeight="1">
      <c r="A84" s="25" t="inlineStr">
        <is>
          <t>Thalia Rojas</t>
        </is>
      </c>
      <c r="B84" s="14" t="inlineStr">
        <is>
          <t>April</t>
        </is>
      </c>
      <c r="C84" s="16" t="n">
        <v>14099</v>
      </c>
      <c r="D84" s="26" t="n">
        <v>14099</v>
      </c>
      <c r="E84" s="30" t="inlineStr">
        <is>
          <t>Below T1 - Minimum Requirement NOT met</t>
        </is>
      </c>
      <c r="F84" s="31" t="n">
        <v>0</v>
      </c>
    </row>
    <row r="85" ht="22" customHeight="1">
      <c r="A85" s="25" t="inlineStr">
        <is>
          <t>Melissa Hernandez</t>
        </is>
      </c>
      <c r="B85" s="14" t="inlineStr">
        <is>
          <t>February</t>
        </is>
      </c>
      <c r="C85" s="16" t="n">
        <v>7659.5</v>
      </c>
      <c r="D85" s="26" t="n">
        <v>7659.5</v>
      </c>
      <c r="E85" s="30" t="inlineStr">
        <is>
          <t>Below T1 - Minimum Requirement NOT met</t>
        </is>
      </c>
      <c r="F85" s="31" t="n">
        <v>0</v>
      </c>
    </row>
    <row r="86" ht="20" customHeight="1">
      <c r="A86" s="4" t="inlineStr">
        <is>
          <t>NB tiers: T1 $45k=$250 | T2 $55k=$375 | T3 $70k=$525 | T4 $85k=$725 | T5 $100k=$1,000 | Above $100k: +$50 per $5k. Minimum requirement = $45k NB premium.</t>
        </is>
      </c>
    </row>
  </sheetData>
  <mergeCells count="8">
    <mergeCell ref="A2:F2"/>
    <mergeCell ref="A60:F60"/>
    <mergeCell ref="A1:F1"/>
    <mergeCell ref="A32:F32"/>
    <mergeCell ref="A58:F58"/>
    <mergeCell ref="A4:F4"/>
    <mergeCell ref="A30:F30"/>
    <mergeCell ref="A86:F86"/>
  </mergeCells>
  <conditionalFormatting sqref="D6:D29">
    <cfRule type="dataBar" priority="1">
      <dataBar showValue="0">
        <cfvo type="num" val="0"/>
        <cfvo type="num" val="120000"/>
        <color rgb="0063BE7B"/>
      </dataBar>
    </cfRule>
  </conditionalFormatting>
  <conditionalFormatting sqref="D34:D57">
    <cfRule type="dataBar" priority="2">
      <dataBar showValue="0">
        <cfvo type="num" val="0"/>
        <cfvo type="num" val="120000"/>
        <color rgb="0063BE7B"/>
      </dataBar>
    </cfRule>
  </conditionalFormatting>
  <conditionalFormatting sqref="D62:D85">
    <cfRule type="dataBar" priority="3">
      <dataBar showValue="0">
        <cfvo type="num" val="0"/>
        <cfvo type="num" val="120000"/>
        <color rgb="0063BE7B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4" customWidth="1" min="4" max="4"/>
    <col width="42" customWidth="1" min="5" max="5"/>
    <col width="14" customWidth="1" min="6" max="6"/>
  </cols>
  <sheetData>
    <row r="1">
      <c r="A1" s="1" t="inlineStr">
        <is>
          <t>RWR BONUS EXAMPLES - 6 agents x 4 months, three scenarios</t>
        </is>
      </c>
    </row>
    <row r="2">
      <c r="A2" s="4" t="inlineStr">
        <is>
          <t>Each row = one agent-month under RWR. Sorted by RWR premium descending. Progress bar = RWR premium / $120k. Tier shows the bonus formula.</t>
        </is>
      </c>
    </row>
    <row r="4" ht="22" customHeight="1">
      <c r="A4" s="5" t="inlineStr">
        <is>
          <t>SCENARIO 1: REAL DATA (Jan-Apr 2026)</t>
        </is>
      </c>
    </row>
    <row r="5" ht="26" customHeight="1">
      <c r="A5" s="6" t="inlineStr">
        <is>
          <t>Agent</t>
        </is>
      </c>
      <c r="B5" s="6" t="inlineStr">
        <is>
          <t>Month</t>
        </is>
      </c>
      <c r="C5" s="6" t="inlineStr">
        <is>
          <t>RWR Premium</t>
        </is>
      </c>
      <c r="D5" s="6" t="inlineStr">
        <is>
          <t>Progress Bar</t>
        </is>
      </c>
      <c r="E5" s="6" t="inlineStr">
        <is>
          <t>Tier</t>
        </is>
      </c>
      <c r="F5" s="6" t="inlineStr">
        <is>
          <t>Total Bonus $</t>
        </is>
      </c>
    </row>
    <row r="6" ht="22" customHeight="1">
      <c r="A6" s="25" t="inlineStr">
        <is>
          <t>Dialinerys Dieguez</t>
        </is>
      </c>
      <c r="B6" s="14" t="inlineStr">
        <is>
          <t>March</t>
        </is>
      </c>
      <c r="C6" s="16" t="n">
        <v>96228.35000000001</v>
      </c>
      <c r="D6" s="26" t="n">
        <v>96228.35000000001</v>
      </c>
      <c r="E6" s="32" t="inlineStr">
        <is>
          <t>Tier 4 (T4 $85k) - $350</t>
        </is>
      </c>
      <c r="F6" s="28" t="n">
        <v>350</v>
      </c>
    </row>
    <row r="7" ht="22" customHeight="1">
      <c r="A7" s="25" t="inlineStr">
        <is>
          <t>Dialinerys Dieguez</t>
        </is>
      </c>
      <c r="B7" s="14" t="inlineStr">
        <is>
          <t>February</t>
        </is>
      </c>
      <c r="C7" s="16" t="n">
        <v>85544.60000000001</v>
      </c>
      <c r="D7" s="26" t="n">
        <v>85544.60000000001</v>
      </c>
      <c r="E7" s="32" t="inlineStr">
        <is>
          <t>Tier 4 (T4 $85k) - $350</t>
        </is>
      </c>
      <c r="F7" s="28" t="n">
        <v>350</v>
      </c>
    </row>
    <row r="8" ht="22" customHeight="1">
      <c r="A8" s="25" t="inlineStr">
        <is>
          <t>Dialinerys Dieguez</t>
        </is>
      </c>
      <c r="B8" s="14" t="inlineStr">
        <is>
          <t>January</t>
        </is>
      </c>
      <c r="C8" s="16" t="n">
        <v>65675.38</v>
      </c>
      <c r="D8" s="26" t="n">
        <v>65675.38</v>
      </c>
      <c r="E8" s="27" t="inlineStr">
        <is>
          <t>Tier 2 (T2 $55k) - $200</t>
        </is>
      </c>
      <c r="F8" s="28" t="n">
        <v>200</v>
      </c>
    </row>
    <row r="9" ht="22" customHeight="1">
      <c r="A9" s="25" t="inlineStr">
        <is>
          <t>Dialinerys Dieguez</t>
        </is>
      </c>
      <c r="B9" s="14" t="inlineStr">
        <is>
          <t>April</t>
        </is>
      </c>
      <c r="C9" s="16" t="n">
        <v>64165.43</v>
      </c>
      <c r="D9" s="26" t="n">
        <v>64165.43</v>
      </c>
      <c r="E9" s="27" t="inlineStr">
        <is>
          <t>Tier 2 (T2 $55k) - $200</t>
        </is>
      </c>
      <c r="F9" s="28" t="n">
        <v>200</v>
      </c>
    </row>
    <row r="10" ht="22" customHeight="1">
      <c r="A10" s="25" t="inlineStr">
        <is>
          <t>Melissa Hernandez</t>
        </is>
      </c>
      <c r="B10" s="14" t="inlineStr">
        <is>
          <t>January</t>
        </is>
      </c>
      <c r="C10" s="16" t="n">
        <v>63374.5</v>
      </c>
      <c r="D10" s="26" t="n">
        <v>63374.5</v>
      </c>
      <c r="E10" s="27" t="inlineStr">
        <is>
          <t>Tier 2 (T2 $55k) - $200</t>
        </is>
      </c>
      <c r="F10" s="28" t="n">
        <v>200</v>
      </c>
    </row>
    <row r="11" ht="22" customHeight="1">
      <c r="A11" s="25" t="inlineStr">
        <is>
          <t>Melissa Hernandez</t>
        </is>
      </c>
      <c r="B11" s="14" t="inlineStr">
        <is>
          <t>March</t>
        </is>
      </c>
      <c r="C11" s="16" t="n">
        <v>56860.6</v>
      </c>
      <c r="D11" s="26" t="n">
        <v>56860.6</v>
      </c>
      <c r="E11" s="27" t="inlineStr">
        <is>
          <t>Tier 2 (T2 $55k) - $200</t>
        </is>
      </c>
      <c r="F11" s="28" t="n">
        <v>200</v>
      </c>
    </row>
    <row r="12" ht="22" customHeight="1">
      <c r="A12" s="25" t="inlineStr">
        <is>
          <t>Melissa Hernandez</t>
        </is>
      </c>
      <c r="B12" s="14" t="inlineStr">
        <is>
          <t>February</t>
        </is>
      </c>
      <c r="C12" s="16" t="n">
        <v>49990.7</v>
      </c>
      <c r="D12" s="26" t="n">
        <v>49990.7</v>
      </c>
      <c r="E12" s="29" t="inlineStr">
        <is>
          <t>Tier 1 (T1 $45k) - $100</t>
        </is>
      </c>
      <c r="F12" s="28" t="n">
        <v>100</v>
      </c>
    </row>
    <row r="13" ht="22" customHeight="1">
      <c r="A13" s="25" t="inlineStr">
        <is>
          <t>Monica Valdes</t>
        </is>
      </c>
      <c r="B13" s="14" t="inlineStr">
        <is>
          <t>January</t>
        </is>
      </c>
      <c r="C13" s="16" t="n">
        <v>48612.96</v>
      </c>
      <c r="D13" s="26" t="n">
        <v>48612.96</v>
      </c>
      <c r="E13" s="29" t="inlineStr">
        <is>
          <t>Tier 1 (T1 $45k) - $100</t>
        </is>
      </c>
      <c r="F13" s="28" t="n">
        <v>100</v>
      </c>
    </row>
    <row r="14" ht="22" customHeight="1">
      <c r="A14" s="25" t="inlineStr">
        <is>
          <t>Monica Valdes</t>
        </is>
      </c>
      <c r="B14" s="14" t="inlineStr">
        <is>
          <t>February</t>
        </is>
      </c>
      <c r="C14" s="16" t="n">
        <v>47228.18</v>
      </c>
      <c r="D14" s="26" t="n">
        <v>47228.18</v>
      </c>
      <c r="E14" s="29" t="inlineStr">
        <is>
          <t>Tier 1 (T1 $45k) - $100</t>
        </is>
      </c>
      <c r="F14" s="28" t="n">
        <v>100</v>
      </c>
    </row>
    <row r="15" ht="22" customHeight="1">
      <c r="A15" s="25" t="inlineStr">
        <is>
          <t>Flavia Parra</t>
        </is>
      </c>
      <c r="B15" s="14" t="inlineStr">
        <is>
          <t>February</t>
        </is>
      </c>
      <c r="C15" s="16" t="n">
        <v>43687.45</v>
      </c>
      <c r="D15" s="26" t="n">
        <v>43687.45</v>
      </c>
      <c r="E15" s="30" t="inlineStr">
        <is>
          <t>Below T1 - Minimum Requirement NOT met</t>
        </is>
      </c>
      <c r="F15" s="31" t="n">
        <v>0</v>
      </c>
    </row>
    <row r="16" ht="22" customHeight="1">
      <c r="A16" s="25" t="inlineStr">
        <is>
          <t>Melissa Hernandez</t>
        </is>
      </c>
      <c r="B16" s="14" t="inlineStr">
        <is>
          <t>April</t>
        </is>
      </c>
      <c r="C16" s="16" t="n">
        <v>43396.2</v>
      </c>
      <c r="D16" s="26" t="n">
        <v>43396.2</v>
      </c>
      <c r="E16" s="30" t="inlineStr">
        <is>
          <t>Below T1 - Minimum Requirement NOT met</t>
        </is>
      </c>
      <c r="F16" s="31" t="n">
        <v>0</v>
      </c>
    </row>
    <row r="17" ht="22" customHeight="1">
      <c r="A17" s="25" t="inlineStr">
        <is>
          <t>Thalia Rojas</t>
        </is>
      </c>
      <c r="B17" s="14" t="inlineStr">
        <is>
          <t>April</t>
        </is>
      </c>
      <c r="C17" s="16" t="n">
        <v>39794.4</v>
      </c>
      <c r="D17" s="26" t="n">
        <v>39794.4</v>
      </c>
      <c r="E17" s="30" t="inlineStr">
        <is>
          <t>Below T1 - Minimum Requirement NOT met</t>
        </is>
      </c>
      <c r="F17" s="31" t="n">
        <v>0</v>
      </c>
    </row>
    <row r="18" ht="22" customHeight="1">
      <c r="A18" s="25" t="inlineStr">
        <is>
          <t>Flavia Parra</t>
        </is>
      </c>
      <c r="B18" s="14" t="inlineStr">
        <is>
          <t>January</t>
        </is>
      </c>
      <c r="C18" s="16" t="n">
        <v>39558.05</v>
      </c>
      <c r="D18" s="26" t="n">
        <v>39558.05</v>
      </c>
      <c r="E18" s="30" t="inlineStr">
        <is>
          <t>Below T1 - Minimum Requirement NOT met</t>
        </is>
      </c>
      <c r="F18" s="31" t="n">
        <v>0</v>
      </c>
    </row>
    <row r="19" ht="22" customHeight="1">
      <c r="A19" s="25" t="inlineStr">
        <is>
          <t>Monica Valdes</t>
        </is>
      </c>
      <c r="B19" s="14" t="inlineStr">
        <is>
          <t>March</t>
        </is>
      </c>
      <c r="C19" s="16" t="n">
        <v>39254.65</v>
      </c>
      <c r="D19" s="26" t="n">
        <v>39254.65</v>
      </c>
      <c r="E19" s="30" t="inlineStr">
        <is>
          <t>Below T1 - Minimum Requirement NOT met</t>
        </is>
      </c>
      <c r="F19" s="31" t="n">
        <v>0</v>
      </c>
    </row>
    <row r="20" ht="22" customHeight="1">
      <c r="A20" s="25" t="inlineStr">
        <is>
          <t>Monica Valdes</t>
        </is>
      </c>
      <c r="B20" s="14" t="inlineStr">
        <is>
          <t>April</t>
        </is>
      </c>
      <c r="C20" s="16" t="n">
        <v>35279.9</v>
      </c>
      <c r="D20" s="26" t="n">
        <v>35279.9</v>
      </c>
      <c r="E20" s="30" t="inlineStr">
        <is>
          <t>Below T1 - Minimum Requirement NOT met</t>
        </is>
      </c>
      <c r="F20" s="31" t="n">
        <v>0</v>
      </c>
    </row>
    <row r="21" ht="22" customHeight="1">
      <c r="A21" s="25" t="inlineStr">
        <is>
          <t>Thalia Rojas</t>
        </is>
      </c>
      <c r="B21" s="14" t="inlineStr">
        <is>
          <t>January</t>
        </is>
      </c>
      <c r="C21" s="16" t="n">
        <v>33083.93</v>
      </c>
      <c r="D21" s="26" t="n">
        <v>33083.93</v>
      </c>
      <c r="E21" s="30" t="inlineStr">
        <is>
          <t>Below T1 - Minimum Requirement NOT met</t>
        </is>
      </c>
      <c r="F21" s="31" t="n">
        <v>0</v>
      </c>
    </row>
    <row r="22" ht="22" customHeight="1">
      <c r="A22" s="25" t="inlineStr">
        <is>
          <t>Flavia Parra</t>
        </is>
      </c>
      <c r="B22" s="14" t="inlineStr">
        <is>
          <t>April</t>
        </is>
      </c>
      <c r="C22" s="16" t="n">
        <v>30832.76</v>
      </c>
      <c r="D22" s="26" t="n">
        <v>30832.76</v>
      </c>
      <c r="E22" s="30" t="inlineStr">
        <is>
          <t>Below T1 - Minimum Requirement NOT met</t>
        </is>
      </c>
      <c r="F22" s="31" t="n">
        <v>0</v>
      </c>
    </row>
    <row r="23" ht="22" customHeight="1">
      <c r="A23" s="25" t="inlineStr">
        <is>
          <t>Abel Guaina</t>
        </is>
      </c>
      <c r="B23" s="14" t="inlineStr">
        <is>
          <t>February</t>
        </is>
      </c>
      <c r="C23" s="16" t="n">
        <v>30643</v>
      </c>
      <c r="D23" s="26" t="n">
        <v>30643</v>
      </c>
      <c r="E23" s="30" t="inlineStr">
        <is>
          <t>Below T1 - Minimum Requirement NOT met</t>
        </is>
      </c>
      <c r="F23" s="31" t="n">
        <v>0</v>
      </c>
    </row>
    <row r="24" ht="22" customHeight="1">
      <c r="A24" s="25" t="inlineStr">
        <is>
          <t>Thalia Rojas</t>
        </is>
      </c>
      <c r="B24" s="14" t="inlineStr">
        <is>
          <t>February</t>
        </is>
      </c>
      <c r="C24" s="16" t="n">
        <v>28298.16</v>
      </c>
      <c r="D24" s="26" t="n">
        <v>28298.16</v>
      </c>
      <c r="E24" s="30" t="inlineStr">
        <is>
          <t>Below T1 - Minimum Requirement NOT met</t>
        </is>
      </c>
      <c r="F24" s="31" t="n">
        <v>0</v>
      </c>
    </row>
    <row r="25" ht="22" customHeight="1">
      <c r="A25" s="25" t="inlineStr">
        <is>
          <t>Abel Guaina</t>
        </is>
      </c>
      <c r="B25" s="14" t="inlineStr">
        <is>
          <t>January</t>
        </is>
      </c>
      <c r="C25" s="16" t="n">
        <v>27518.5</v>
      </c>
      <c r="D25" s="26" t="n">
        <v>27518.5</v>
      </c>
      <c r="E25" s="30" t="inlineStr">
        <is>
          <t>Below T1 - Minimum Requirement NOT met</t>
        </is>
      </c>
      <c r="F25" s="31" t="n">
        <v>0</v>
      </c>
    </row>
    <row r="26" ht="22" customHeight="1">
      <c r="A26" s="25" t="inlineStr">
        <is>
          <t>Abel Guaina</t>
        </is>
      </c>
      <c r="B26" s="14" t="inlineStr">
        <is>
          <t>March</t>
        </is>
      </c>
      <c r="C26" s="16" t="n">
        <v>25227.6</v>
      </c>
      <c r="D26" s="26" t="n">
        <v>25227.6</v>
      </c>
      <c r="E26" s="30" t="inlineStr">
        <is>
          <t>Below T1 - Minimum Requirement NOT met</t>
        </is>
      </c>
      <c r="F26" s="31" t="n">
        <v>0</v>
      </c>
    </row>
    <row r="27" ht="22" customHeight="1">
      <c r="A27" s="25" t="inlineStr">
        <is>
          <t>Flavia Parra</t>
        </is>
      </c>
      <c r="B27" s="14" t="inlineStr">
        <is>
          <t>March</t>
        </is>
      </c>
      <c r="C27" s="16" t="n">
        <v>23526.7</v>
      </c>
      <c r="D27" s="26" t="n">
        <v>23526.7</v>
      </c>
      <c r="E27" s="30" t="inlineStr">
        <is>
          <t>Below T1 - Minimum Requirement NOT met</t>
        </is>
      </c>
      <c r="F27" s="31" t="n">
        <v>0</v>
      </c>
    </row>
    <row r="28" ht="22" customHeight="1">
      <c r="A28" s="25" t="inlineStr">
        <is>
          <t>Thalia Rojas</t>
        </is>
      </c>
      <c r="B28" s="14" t="inlineStr">
        <is>
          <t>March</t>
        </is>
      </c>
      <c r="C28" s="16" t="n">
        <v>19840.85</v>
      </c>
      <c r="D28" s="26" t="n">
        <v>19840.85</v>
      </c>
      <c r="E28" s="30" t="inlineStr">
        <is>
          <t>Below T1 - Minimum Requirement NOT met</t>
        </is>
      </c>
      <c r="F28" s="31" t="n">
        <v>0</v>
      </c>
    </row>
    <row r="29" ht="22" customHeight="1">
      <c r="A29" s="25" t="inlineStr">
        <is>
          <t>Abel Guaina</t>
        </is>
      </c>
      <c r="B29" s="14" t="inlineStr">
        <is>
          <t>April</t>
        </is>
      </c>
      <c r="C29" s="16" t="n">
        <v>15361.95</v>
      </c>
      <c r="D29" s="26" t="n">
        <v>15361.95</v>
      </c>
      <c r="E29" s="30" t="inlineStr">
        <is>
          <t>Below T1 - Minimum Requirement NOT met</t>
        </is>
      </c>
      <c r="F29" s="31" t="n">
        <v>0</v>
      </c>
    </row>
    <row r="30" ht="20" customHeight="1">
      <c r="A30" s="4" t="inlineStr">
        <is>
          <t>RWR tiers: T1 $45k=$100 | T2 $55k=$200 | T3 $70k=$275 | T4 $85k=$350 | T5 $100k=$500 | Above $100k: +$25 per $5k. RWR gated by NB minimum.</t>
        </is>
      </c>
    </row>
    <row r="32" ht="22" customHeight="1">
      <c r="A32" s="5" t="inlineStr">
        <is>
          <t>SCENARIO 2: 50% SWAP (half of RWR -&gt; REN)</t>
        </is>
      </c>
    </row>
    <row r="33" ht="26" customHeight="1">
      <c r="A33" s="6" t="inlineStr">
        <is>
          <t>Agent</t>
        </is>
      </c>
      <c r="B33" s="6" t="inlineStr">
        <is>
          <t>Month</t>
        </is>
      </c>
      <c r="C33" s="6" t="inlineStr">
        <is>
          <t>RWR Premium</t>
        </is>
      </c>
      <c r="D33" s="6" t="inlineStr">
        <is>
          <t>Progress Bar</t>
        </is>
      </c>
      <c r="E33" s="6" t="inlineStr">
        <is>
          <t>Tier</t>
        </is>
      </c>
      <c r="F33" s="6" t="inlineStr">
        <is>
          <t>Total Bonus $</t>
        </is>
      </c>
    </row>
    <row r="34" ht="22" customHeight="1">
      <c r="A34" s="25" t="inlineStr">
        <is>
          <t>Dialinerys Dieguez</t>
        </is>
      </c>
      <c r="B34" s="14" t="inlineStr">
        <is>
          <t>March</t>
        </is>
      </c>
      <c r="C34" s="16" t="n">
        <v>48114.175</v>
      </c>
      <c r="D34" s="26" t="n">
        <v>48114.175</v>
      </c>
      <c r="E34" s="29" t="inlineStr">
        <is>
          <t>Tier 1 (T1 $45k) - $100</t>
        </is>
      </c>
      <c r="F34" s="28" t="n">
        <v>100</v>
      </c>
    </row>
    <row r="35" ht="22" customHeight="1">
      <c r="A35" s="25" t="inlineStr">
        <is>
          <t>Dialinerys Dieguez</t>
        </is>
      </c>
      <c r="B35" s="14" t="inlineStr">
        <is>
          <t>February</t>
        </is>
      </c>
      <c r="C35" s="16" t="n">
        <v>42772.3</v>
      </c>
      <c r="D35" s="26" t="n">
        <v>42772.3</v>
      </c>
      <c r="E35" s="30" t="inlineStr">
        <is>
          <t>Below T1 - Minimum Requirement NOT met</t>
        </is>
      </c>
      <c r="F35" s="31" t="n">
        <v>0</v>
      </c>
    </row>
    <row r="36" ht="22" customHeight="1">
      <c r="A36" s="25" t="inlineStr">
        <is>
          <t>Dialinerys Dieguez</t>
        </is>
      </c>
      <c r="B36" s="14" t="inlineStr">
        <is>
          <t>January</t>
        </is>
      </c>
      <c r="C36" s="16" t="n">
        <v>32837.69</v>
      </c>
      <c r="D36" s="26" t="n">
        <v>32837.69</v>
      </c>
      <c r="E36" s="30" t="inlineStr">
        <is>
          <t>Below T1 - Minimum Requirement NOT met</t>
        </is>
      </c>
      <c r="F36" s="31" t="n">
        <v>0</v>
      </c>
    </row>
    <row r="37" ht="22" customHeight="1">
      <c r="A37" s="25" t="inlineStr">
        <is>
          <t>Dialinerys Dieguez</t>
        </is>
      </c>
      <c r="B37" s="14" t="inlineStr">
        <is>
          <t>April</t>
        </is>
      </c>
      <c r="C37" s="16" t="n">
        <v>32082.715</v>
      </c>
      <c r="D37" s="26" t="n">
        <v>32082.715</v>
      </c>
      <c r="E37" s="30" t="inlineStr">
        <is>
          <t>Below T1 - Minimum Requirement NOT met</t>
        </is>
      </c>
      <c r="F37" s="31" t="n">
        <v>0</v>
      </c>
    </row>
    <row r="38" ht="22" customHeight="1">
      <c r="A38" s="25" t="inlineStr">
        <is>
          <t>Melissa Hernandez</t>
        </is>
      </c>
      <c r="B38" s="14" t="inlineStr">
        <is>
          <t>January</t>
        </is>
      </c>
      <c r="C38" s="16" t="n">
        <v>31687.25</v>
      </c>
      <c r="D38" s="26" t="n">
        <v>31687.25</v>
      </c>
      <c r="E38" s="30" t="inlineStr">
        <is>
          <t>Below T1 - Minimum Requirement NOT met</t>
        </is>
      </c>
      <c r="F38" s="31" t="n">
        <v>0</v>
      </c>
    </row>
    <row r="39" ht="22" customHeight="1">
      <c r="A39" s="25" t="inlineStr">
        <is>
          <t>Melissa Hernandez</t>
        </is>
      </c>
      <c r="B39" s="14" t="inlineStr">
        <is>
          <t>March</t>
        </is>
      </c>
      <c r="C39" s="16" t="n">
        <v>28430.3</v>
      </c>
      <c r="D39" s="26" t="n">
        <v>28430.3</v>
      </c>
      <c r="E39" s="30" t="inlineStr">
        <is>
          <t>Below T1 - Minimum Requirement NOT met</t>
        </is>
      </c>
      <c r="F39" s="31" t="n">
        <v>0</v>
      </c>
    </row>
    <row r="40" ht="22" customHeight="1">
      <c r="A40" s="25" t="inlineStr">
        <is>
          <t>Melissa Hernandez</t>
        </is>
      </c>
      <c r="B40" s="14" t="inlineStr">
        <is>
          <t>February</t>
        </is>
      </c>
      <c r="C40" s="16" t="n">
        <v>24995.35</v>
      </c>
      <c r="D40" s="26" t="n">
        <v>24995.35</v>
      </c>
      <c r="E40" s="30" t="inlineStr">
        <is>
          <t>Below T1 - Minimum Requirement NOT met</t>
        </is>
      </c>
      <c r="F40" s="31" t="n">
        <v>0</v>
      </c>
    </row>
    <row r="41" ht="22" customHeight="1">
      <c r="A41" s="25" t="inlineStr">
        <is>
          <t>Monica Valdes</t>
        </is>
      </c>
      <c r="B41" s="14" t="inlineStr">
        <is>
          <t>January</t>
        </is>
      </c>
      <c r="C41" s="16" t="n">
        <v>24306.48</v>
      </c>
      <c r="D41" s="26" t="n">
        <v>24306.48</v>
      </c>
      <c r="E41" s="30" t="inlineStr">
        <is>
          <t>Below T1 - Minimum Requirement NOT met</t>
        </is>
      </c>
      <c r="F41" s="31" t="n">
        <v>0</v>
      </c>
    </row>
    <row r="42" ht="22" customHeight="1">
      <c r="A42" s="25" t="inlineStr">
        <is>
          <t>Monica Valdes</t>
        </is>
      </c>
      <c r="B42" s="14" t="inlineStr">
        <is>
          <t>February</t>
        </is>
      </c>
      <c r="C42" s="16" t="n">
        <v>23614.09</v>
      </c>
      <c r="D42" s="26" t="n">
        <v>23614.09</v>
      </c>
      <c r="E42" s="30" t="inlineStr">
        <is>
          <t>Below T1 - Minimum Requirement NOT met</t>
        </is>
      </c>
      <c r="F42" s="31" t="n">
        <v>0</v>
      </c>
    </row>
    <row r="43" ht="22" customHeight="1">
      <c r="A43" s="25" t="inlineStr">
        <is>
          <t>Flavia Parra</t>
        </is>
      </c>
      <c r="B43" s="14" t="inlineStr">
        <is>
          <t>February</t>
        </is>
      </c>
      <c r="C43" s="16" t="n">
        <v>21843.725</v>
      </c>
      <c r="D43" s="26" t="n">
        <v>21843.725</v>
      </c>
      <c r="E43" s="30" t="inlineStr">
        <is>
          <t>Below T1 - Minimum Requirement NOT met</t>
        </is>
      </c>
      <c r="F43" s="31" t="n">
        <v>0</v>
      </c>
    </row>
    <row r="44" ht="22" customHeight="1">
      <c r="A44" s="25" t="inlineStr">
        <is>
          <t>Melissa Hernandez</t>
        </is>
      </c>
      <c r="B44" s="14" t="inlineStr">
        <is>
          <t>April</t>
        </is>
      </c>
      <c r="C44" s="16" t="n">
        <v>21698.1</v>
      </c>
      <c r="D44" s="26" t="n">
        <v>21698.1</v>
      </c>
      <c r="E44" s="30" t="inlineStr">
        <is>
          <t>Below T1 - Minimum Requirement NOT met</t>
        </is>
      </c>
      <c r="F44" s="31" t="n">
        <v>0</v>
      </c>
    </row>
    <row r="45" ht="22" customHeight="1">
      <c r="A45" s="25" t="inlineStr">
        <is>
          <t>Thalia Rojas</t>
        </is>
      </c>
      <c r="B45" s="14" t="inlineStr">
        <is>
          <t>April</t>
        </is>
      </c>
      <c r="C45" s="16" t="n">
        <v>19897.2</v>
      </c>
      <c r="D45" s="26" t="n">
        <v>19897.2</v>
      </c>
      <c r="E45" s="30" t="inlineStr">
        <is>
          <t>Below T1 - Minimum Requirement NOT met</t>
        </is>
      </c>
      <c r="F45" s="31" t="n">
        <v>0</v>
      </c>
    </row>
    <row r="46" ht="22" customHeight="1">
      <c r="A46" s="25" t="inlineStr">
        <is>
          <t>Flavia Parra</t>
        </is>
      </c>
      <c r="B46" s="14" t="inlineStr">
        <is>
          <t>January</t>
        </is>
      </c>
      <c r="C46" s="16" t="n">
        <v>19779.025</v>
      </c>
      <c r="D46" s="26" t="n">
        <v>19779.025</v>
      </c>
      <c r="E46" s="30" t="inlineStr">
        <is>
          <t>Below T1 - Minimum Requirement NOT met</t>
        </is>
      </c>
      <c r="F46" s="31" t="n">
        <v>0</v>
      </c>
    </row>
    <row r="47" ht="22" customHeight="1">
      <c r="A47" s="25" t="inlineStr">
        <is>
          <t>Monica Valdes</t>
        </is>
      </c>
      <c r="B47" s="14" t="inlineStr">
        <is>
          <t>March</t>
        </is>
      </c>
      <c r="C47" s="16" t="n">
        <v>19627.325</v>
      </c>
      <c r="D47" s="26" t="n">
        <v>19627.325</v>
      </c>
      <c r="E47" s="30" t="inlineStr">
        <is>
          <t>Below T1 - Minimum Requirement NOT met</t>
        </is>
      </c>
      <c r="F47" s="31" t="n">
        <v>0</v>
      </c>
    </row>
    <row r="48" ht="22" customHeight="1">
      <c r="A48" s="25" t="inlineStr">
        <is>
          <t>Monica Valdes</t>
        </is>
      </c>
      <c r="B48" s="14" t="inlineStr">
        <is>
          <t>April</t>
        </is>
      </c>
      <c r="C48" s="16" t="n">
        <v>17639.95</v>
      </c>
      <c r="D48" s="26" t="n">
        <v>17639.95</v>
      </c>
      <c r="E48" s="30" t="inlineStr">
        <is>
          <t>Below T1 - Minimum Requirement NOT met</t>
        </is>
      </c>
      <c r="F48" s="31" t="n">
        <v>0</v>
      </c>
    </row>
    <row r="49" ht="22" customHeight="1">
      <c r="A49" s="25" t="inlineStr">
        <is>
          <t>Thalia Rojas</t>
        </is>
      </c>
      <c r="B49" s="14" t="inlineStr">
        <is>
          <t>January</t>
        </is>
      </c>
      <c r="C49" s="16" t="n">
        <v>16541.965</v>
      </c>
      <c r="D49" s="26" t="n">
        <v>16541.965</v>
      </c>
      <c r="E49" s="30" t="inlineStr">
        <is>
          <t>Below T1 - Minimum Requirement NOT met</t>
        </is>
      </c>
      <c r="F49" s="31" t="n">
        <v>0</v>
      </c>
    </row>
    <row r="50" ht="22" customHeight="1">
      <c r="A50" s="25" t="inlineStr">
        <is>
          <t>Flavia Parra</t>
        </is>
      </c>
      <c r="B50" s="14" t="inlineStr">
        <is>
          <t>April</t>
        </is>
      </c>
      <c r="C50" s="16" t="n">
        <v>15416.38</v>
      </c>
      <c r="D50" s="26" t="n">
        <v>15416.38</v>
      </c>
      <c r="E50" s="30" t="inlineStr">
        <is>
          <t>Below T1 - Minimum Requirement NOT met</t>
        </is>
      </c>
      <c r="F50" s="31" t="n">
        <v>0</v>
      </c>
    </row>
    <row r="51" ht="22" customHeight="1">
      <c r="A51" s="25" t="inlineStr">
        <is>
          <t>Abel Guaina</t>
        </is>
      </c>
      <c r="B51" s="14" t="inlineStr">
        <is>
          <t>February</t>
        </is>
      </c>
      <c r="C51" s="16" t="n">
        <v>15321.5</v>
      </c>
      <c r="D51" s="26" t="n">
        <v>15321.5</v>
      </c>
      <c r="E51" s="30" t="inlineStr">
        <is>
          <t>Below T1 - Minimum Requirement NOT met</t>
        </is>
      </c>
      <c r="F51" s="31" t="n">
        <v>0</v>
      </c>
    </row>
    <row r="52" ht="22" customHeight="1">
      <c r="A52" s="25" t="inlineStr">
        <is>
          <t>Thalia Rojas</t>
        </is>
      </c>
      <c r="B52" s="14" t="inlineStr">
        <is>
          <t>February</t>
        </is>
      </c>
      <c r="C52" s="16" t="n">
        <v>14149.08</v>
      </c>
      <c r="D52" s="26" t="n">
        <v>14149.08</v>
      </c>
      <c r="E52" s="30" t="inlineStr">
        <is>
          <t>Below T1 - Minimum Requirement NOT met</t>
        </is>
      </c>
      <c r="F52" s="31" t="n">
        <v>0</v>
      </c>
    </row>
    <row r="53" ht="22" customHeight="1">
      <c r="A53" s="25" t="inlineStr">
        <is>
          <t>Abel Guaina</t>
        </is>
      </c>
      <c r="B53" s="14" t="inlineStr">
        <is>
          <t>January</t>
        </is>
      </c>
      <c r="C53" s="16" t="n">
        <v>13759.25</v>
      </c>
      <c r="D53" s="26" t="n">
        <v>13759.25</v>
      </c>
      <c r="E53" s="30" t="inlineStr">
        <is>
          <t>Below T1 - Minimum Requirement NOT met</t>
        </is>
      </c>
      <c r="F53" s="31" t="n">
        <v>0</v>
      </c>
    </row>
    <row r="54" ht="22" customHeight="1">
      <c r="A54" s="25" t="inlineStr">
        <is>
          <t>Abel Guaina</t>
        </is>
      </c>
      <c r="B54" s="14" t="inlineStr">
        <is>
          <t>March</t>
        </is>
      </c>
      <c r="C54" s="16" t="n">
        <v>12613.8</v>
      </c>
      <c r="D54" s="26" t="n">
        <v>12613.8</v>
      </c>
      <c r="E54" s="30" t="inlineStr">
        <is>
          <t>Below T1 - Minimum Requirement NOT met</t>
        </is>
      </c>
      <c r="F54" s="31" t="n">
        <v>0</v>
      </c>
    </row>
    <row r="55" ht="22" customHeight="1">
      <c r="A55" s="25" t="inlineStr">
        <is>
          <t>Flavia Parra</t>
        </is>
      </c>
      <c r="B55" s="14" t="inlineStr">
        <is>
          <t>March</t>
        </is>
      </c>
      <c r="C55" s="16" t="n">
        <v>11763.35</v>
      </c>
      <c r="D55" s="26" t="n">
        <v>11763.35</v>
      </c>
      <c r="E55" s="30" t="inlineStr">
        <is>
          <t>Below T1 - Minimum Requirement NOT met</t>
        </is>
      </c>
      <c r="F55" s="31" t="n">
        <v>0</v>
      </c>
    </row>
    <row r="56" ht="22" customHeight="1">
      <c r="A56" s="25" t="inlineStr">
        <is>
          <t>Thalia Rojas</t>
        </is>
      </c>
      <c r="B56" s="14" t="inlineStr">
        <is>
          <t>March</t>
        </is>
      </c>
      <c r="C56" s="16" t="n">
        <v>9920.424999999999</v>
      </c>
      <c r="D56" s="26" t="n">
        <v>9920.424999999999</v>
      </c>
      <c r="E56" s="30" t="inlineStr">
        <is>
          <t>Below T1 - Minimum Requirement NOT met</t>
        </is>
      </c>
      <c r="F56" s="31" t="n">
        <v>0</v>
      </c>
    </row>
    <row r="57" ht="22" customHeight="1">
      <c r="A57" s="25" t="inlineStr">
        <is>
          <t>Abel Guaina</t>
        </is>
      </c>
      <c r="B57" s="14" t="inlineStr">
        <is>
          <t>April</t>
        </is>
      </c>
      <c r="C57" s="16" t="n">
        <v>7680.975</v>
      </c>
      <c r="D57" s="26" t="n">
        <v>7680.975</v>
      </c>
      <c r="E57" s="30" t="inlineStr">
        <is>
          <t>Below T1 - Minimum Requirement NOT met</t>
        </is>
      </c>
      <c r="F57" s="31" t="n">
        <v>0</v>
      </c>
    </row>
    <row r="58" ht="20" customHeight="1">
      <c r="A58" s="4" t="inlineStr">
        <is>
          <t>RWR tiers: T1 $45k=$100 | T2 $55k=$200 | T3 $70k=$275 | T4 $85k=$350 | T5 $100k=$500 | Above $100k: +$25 per $5k. RWR gated by NB minimum.</t>
        </is>
      </c>
    </row>
    <row r="60" ht="22" customHeight="1">
      <c r="A60" s="5" t="inlineStr">
        <is>
          <t>SCENARIO 3: 100% FLIP (RWR fully -&gt; REN)</t>
        </is>
      </c>
    </row>
    <row r="61" ht="26" customHeight="1">
      <c r="A61" s="6" t="inlineStr">
        <is>
          <t>Agent</t>
        </is>
      </c>
      <c r="B61" s="6" t="inlineStr">
        <is>
          <t>Month</t>
        </is>
      </c>
      <c r="C61" s="6" t="inlineStr">
        <is>
          <t>RWR Premium</t>
        </is>
      </c>
      <c r="D61" s="6" t="inlineStr">
        <is>
          <t>Progress Bar</t>
        </is>
      </c>
      <c r="E61" s="6" t="inlineStr">
        <is>
          <t>Tier</t>
        </is>
      </c>
      <c r="F61" s="6" t="inlineStr">
        <is>
          <t>Total Bonus $</t>
        </is>
      </c>
    </row>
    <row r="62" ht="22" customHeight="1">
      <c r="A62" s="25" t="inlineStr">
        <is>
          <t>Dialinerys Dieguez</t>
        </is>
      </c>
      <c r="B62" s="14" t="inlineStr">
        <is>
          <t>April</t>
        </is>
      </c>
      <c r="C62" s="16" t="n">
        <v>19575</v>
      </c>
      <c r="D62" s="26" t="n">
        <v>19575</v>
      </c>
      <c r="E62" s="30" t="inlineStr">
        <is>
          <t>Below T1 - Minimum Requirement NOT met</t>
        </is>
      </c>
      <c r="F62" s="31" t="n">
        <v>0</v>
      </c>
    </row>
    <row r="63" ht="22" customHeight="1">
      <c r="A63" s="25" t="inlineStr">
        <is>
          <t>Dialinerys Dieguez</t>
        </is>
      </c>
      <c r="B63" s="14" t="inlineStr">
        <is>
          <t>January</t>
        </is>
      </c>
      <c r="C63" s="16" t="n">
        <v>12530.47</v>
      </c>
      <c r="D63" s="26" t="n">
        <v>12530.47</v>
      </c>
      <c r="E63" s="30" t="inlineStr">
        <is>
          <t>Below T1 - Minimum Requirement NOT met</t>
        </is>
      </c>
      <c r="F63" s="31" t="n">
        <v>0</v>
      </c>
    </row>
    <row r="64" ht="22" customHeight="1">
      <c r="A64" s="25" t="inlineStr">
        <is>
          <t>Dialinerys Dieguez</t>
        </is>
      </c>
      <c r="B64" s="14" t="inlineStr">
        <is>
          <t>February</t>
        </is>
      </c>
      <c r="C64" s="16" t="n">
        <v>11629.68</v>
      </c>
      <c r="D64" s="26" t="n">
        <v>11629.68</v>
      </c>
      <c r="E64" s="30" t="inlineStr">
        <is>
          <t>Below T1 - Minimum Requirement NOT met</t>
        </is>
      </c>
      <c r="F64" s="31" t="n">
        <v>0</v>
      </c>
    </row>
    <row r="65" ht="22" customHeight="1">
      <c r="A65" s="25" t="inlineStr">
        <is>
          <t>Abel Guaina</t>
        </is>
      </c>
      <c r="B65" s="14" t="inlineStr">
        <is>
          <t>April</t>
        </is>
      </c>
      <c r="C65" s="16" t="n">
        <v>10935.99</v>
      </c>
      <c r="D65" s="26" t="n">
        <v>10935.99</v>
      </c>
      <c r="E65" s="30" t="inlineStr">
        <is>
          <t>Below T1 - Minimum Requirement NOT met</t>
        </is>
      </c>
      <c r="F65" s="31" t="n">
        <v>0</v>
      </c>
    </row>
    <row r="66" ht="22" customHeight="1">
      <c r="A66" s="25" t="inlineStr">
        <is>
          <t>Abel Guaina</t>
        </is>
      </c>
      <c r="B66" s="14" t="inlineStr">
        <is>
          <t>January</t>
        </is>
      </c>
      <c r="C66" s="16" t="n">
        <v>7605</v>
      </c>
      <c r="D66" s="26" t="n">
        <v>7605</v>
      </c>
      <c r="E66" s="30" t="inlineStr">
        <is>
          <t>Below T1 - Minimum Requirement NOT met</t>
        </is>
      </c>
      <c r="F66" s="31" t="n">
        <v>0</v>
      </c>
    </row>
    <row r="67" ht="22" customHeight="1">
      <c r="A67" s="25" t="inlineStr">
        <is>
          <t>Abel Guaina</t>
        </is>
      </c>
      <c r="B67" s="14" t="inlineStr">
        <is>
          <t>February</t>
        </is>
      </c>
      <c r="C67" s="16" t="n">
        <v>7517</v>
      </c>
      <c r="D67" s="26" t="n">
        <v>7517</v>
      </c>
      <c r="E67" s="30" t="inlineStr">
        <is>
          <t>Below T1 - Minimum Requirement NOT met</t>
        </is>
      </c>
      <c r="F67" s="31" t="n">
        <v>0</v>
      </c>
    </row>
    <row r="68" ht="22" customHeight="1">
      <c r="A68" s="25" t="inlineStr">
        <is>
          <t>Thalia Rojas</t>
        </is>
      </c>
      <c r="B68" s="14" t="inlineStr">
        <is>
          <t>February</t>
        </is>
      </c>
      <c r="C68" s="16" t="n">
        <v>7446</v>
      </c>
      <c r="D68" s="26" t="n">
        <v>7446</v>
      </c>
      <c r="E68" s="30" t="inlineStr">
        <is>
          <t>Below T1 - Minimum Requirement NOT met</t>
        </is>
      </c>
      <c r="F68" s="31" t="n">
        <v>0</v>
      </c>
    </row>
    <row r="69" ht="22" customHeight="1">
      <c r="A69" s="25" t="inlineStr">
        <is>
          <t>Monica Valdes</t>
        </is>
      </c>
      <c r="B69" s="14" t="inlineStr">
        <is>
          <t>January</t>
        </is>
      </c>
      <c r="C69" s="16" t="n">
        <v>6502.91</v>
      </c>
      <c r="D69" s="26" t="n">
        <v>6502.91</v>
      </c>
      <c r="E69" s="30" t="inlineStr">
        <is>
          <t>Below T1 - Minimum Requirement NOT met</t>
        </is>
      </c>
      <c r="F69" s="31" t="n">
        <v>0</v>
      </c>
    </row>
    <row r="70" ht="22" customHeight="1">
      <c r="A70" s="25" t="inlineStr">
        <is>
          <t>Dialinerys Dieguez</t>
        </is>
      </c>
      <c r="B70" s="14" t="inlineStr">
        <is>
          <t>March</t>
        </is>
      </c>
      <c r="C70" s="16" t="n">
        <v>5962.5</v>
      </c>
      <c r="D70" s="26" t="n">
        <v>5962.5</v>
      </c>
      <c r="E70" s="30" t="inlineStr">
        <is>
          <t>Below T1 - Minimum Requirement NOT met</t>
        </is>
      </c>
      <c r="F70" s="31" t="n">
        <v>0</v>
      </c>
    </row>
    <row r="71" ht="22" customHeight="1">
      <c r="A71" s="25" t="inlineStr">
        <is>
          <t>Thalia Rojas</t>
        </is>
      </c>
      <c r="B71" s="14" t="inlineStr">
        <is>
          <t>March</t>
        </is>
      </c>
      <c r="C71" s="16" t="n">
        <v>5643.9</v>
      </c>
      <c r="D71" s="26" t="n">
        <v>5643.9</v>
      </c>
      <c r="E71" s="30" t="inlineStr">
        <is>
          <t>Below T1 - Minimum Requirement NOT met</t>
        </is>
      </c>
      <c r="F71" s="31" t="n">
        <v>0</v>
      </c>
    </row>
    <row r="72" ht="22" customHeight="1">
      <c r="A72" s="25" t="inlineStr">
        <is>
          <t>Abel Guaina</t>
        </is>
      </c>
      <c r="B72" s="14" t="inlineStr">
        <is>
          <t>March</t>
        </is>
      </c>
      <c r="C72" s="16" t="n">
        <v>3901</v>
      </c>
      <c r="D72" s="26" t="n">
        <v>3901</v>
      </c>
      <c r="E72" s="30" t="inlineStr">
        <is>
          <t>Below T1 - Minimum Requirement NOT met</t>
        </is>
      </c>
      <c r="F72" s="31" t="n">
        <v>0</v>
      </c>
    </row>
    <row r="73" ht="22" customHeight="1">
      <c r="A73" s="25" t="inlineStr">
        <is>
          <t>Thalia Rojas</t>
        </is>
      </c>
      <c r="B73" s="14" t="inlineStr">
        <is>
          <t>January</t>
        </is>
      </c>
      <c r="C73" s="16" t="n">
        <v>3690</v>
      </c>
      <c r="D73" s="26" t="n">
        <v>3690</v>
      </c>
      <c r="E73" s="30" t="inlineStr">
        <is>
          <t>Below T1 - Minimum Requirement NOT met</t>
        </is>
      </c>
      <c r="F73" s="31" t="n">
        <v>0</v>
      </c>
    </row>
    <row r="74" ht="22" customHeight="1">
      <c r="A74" s="25" t="inlineStr">
        <is>
          <t>Thalia Rojas</t>
        </is>
      </c>
      <c r="B74" s="14" t="inlineStr">
        <is>
          <t>April</t>
        </is>
      </c>
      <c r="C74" s="16" t="n">
        <v>3617</v>
      </c>
      <c r="D74" s="26" t="n">
        <v>3617</v>
      </c>
      <c r="E74" s="30" t="inlineStr">
        <is>
          <t>Below T1 - Minimum Requirement NOT met</t>
        </is>
      </c>
      <c r="F74" s="31" t="n">
        <v>0</v>
      </c>
    </row>
    <row r="75" ht="22" customHeight="1">
      <c r="A75" s="25" t="inlineStr">
        <is>
          <t>Monica Valdes</t>
        </is>
      </c>
      <c r="B75" s="14" t="inlineStr">
        <is>
          <t>February</t>
        </is>
      </c>
      <c r="C75" s="16" t="n">
        <v>3092</v>
      </c>
      <c r="D75" s="26" t="n">
        <v>3092</v>
      </c>
      <c r="E75" s="30" t="inlineStr">
        <is>
          <t>Below T1 - Minimum Requirement NOT met</t>
        </is>
      </c>
      <c r="F75" s="31" t="n">
        <v>0</v>
      </c>
    </row>
    <row r="76" ht="22" customHeight="1">
      <c r="A76" s="25" t="inlineStr">
        <is>
          <t>Monica Valdes</t>
        </is>
      </c>
      <c r="B76" s="14" t="inlineStr">
        <is>
          <t>April</t>
        </is>
      </c>
      <c r="C76" s="16" t="n">
        <v>2514</v>
      </c>
      <c r="D76" s="26" t="n">
        <v>2514</v>
      </c>
      <c r="E76" s="30" t="inlineStr">
        <is>
          <t>Below T1 - Minimum Requirement NOT met</t>
        </is>
      </c>
      <c r="F76" s="31" t="n">
        <v>0</v>
      </c>
    </row>
    <row r="77" ht="22" customHeight="1">
      <c r="A77" s="25" t="inlineStr">
        <is>
          <t>Flavia Parra</t>
        </is>
      </c>
      <c r="B77" s="14" t="inlineStr">
        <is>
          <t>February</t>
        </is>
      </c>
      <c r="C77" s="16" t="n">
        <v>2099</v>
      </c>
      <c r="D77" s="26" t="n">
        <v>2099</v>
      </c>
      <c r="E77" s="30" t="inlineStr">
        <is>
          <t>Below T1 - Minimum Requirement NOT met</t>
        </is>
      </c>
      <c r="F77" s="31" t="n">
        <v>0</v>
      </c>
    </row>
    <row r="78" ht="22" customHeight="1">
      <c r="A78" s="25" t="inlineStr">
        <is>
          <t>Flavia Parra</t>
        </is>
      </c>
      <c r="B78" s="14" t="inlineStr">
        <is>
          <t>January</t>
        </is>
      </c>
      <c r="C78" s="16" t="n">
        <v>1464.35</v>
      </c>
      <c r="D78" s="26" t="n">
        <v>1464.35</v>
      </c>
      <c r="E78" s="30" t="inlineStr">
        <is>
          <t>Below T1 - Minimum Requirement NOT met</t>
        </is>
      </c>
      <c r="F78" s="31" t="n">
        <v>0</v>
      </c>
    </row>
    <row r="79" ht="22" customHeight="1">
      <c r="A79" s="25" t="inlineStr">
        <is>
          <t>Melissa Hernandez</t>
        </is>
      </c>
      <c r="B79" s="14" t="inlineStr">
        <is>
          <t>February</t>
        </is>
      </c>
      <c r="C79" s="16" t="n">
        <v>1063</v>
      </c>
      <c r="D79" s="26" t="n">
        <v>1063</v>
      </c>
      <c r="E79" s="30" t="inlineStr">
        <is>
          <t>Below T1 - Minimum Requirement NOT met</t>
        </is>
      </c>
      <c r="F79" s="31" t="n">
        <v>0</v>
      </c>
    </row>
    <row r="80" ht="22" customHeight="1">
      <c r="A80" s="25" t="inlineStr">
        <is>
          <t>Melissa Hernandez</t>
        </is>
      </c>
      <c r="B80" s="14" t="inlineStr">
        <is>
          <t>March</t>
        </is>
      </c>
      <c r="C80" s="16" t="n">
        <v>1034</v>
      </c>
      <c r="D80" s="26" t="n">
        <v>1034</v>
      </c>
      <c r="E80" s="30" t="inlineStr">
        <is>
          <t>Below T1 - Minimum Requirement NOT met</t>
        </is>
      </c>
      <c r="F80" s="31" t="n">
        <v>0</v>
      </c>
    </row>
    <row r="81" ht="22" customHeight="1">
      <c r="A81" s="25" t="inlineStr">
        <is>
          <t>Flavia Parra</t>
        </is>
      </c>
      <c r="B81" s="14" t="inlineStr">
        <is>
          <t>April</t>
        </is>
      </c>
      <c r="C81" s="16" t="n">
        <v>885</v>
      </c>
      <c r="D81" s="26" t="n">
        <v>885</v>
      </c>
      <c r="E81" s="30" t="inlineStr">
        <is>
          <t>Below T1 - Minimum Requirement NOT met</t>
        </is>
      </c>
      <c r="F81" s="31" t="n">
        <v>0</v>
      </c>
    </row>
    <row r="82" ht="22" customHeight="1">
      <c r="A82" s="25" t="inlineStr">
        <is>
          <t>Melissa Hernandez</t>
        </is>
      </c>
      <c r="B82" s="14" t="inlineStr">
        <is>
          <t>January</t>
        </is>
      </c>
      <c r="C82" s="16" t="n">
        <v>0</v>
      </c>
      <c r="D82" s="26" t="n">
        <v>0</v>
      </c>
      <c r="E82" s="30" t="inlineStr">
        <is>
          <t>Below T1 - Minimum Requirement NOT met</t>
        </is>
      </c>
      <c r="F82" s="31" t="n">
        <v>0</v>
      </c>
    </row>
    <row r="83" ht="22" customHeight="1">
      <c r="A83" s="25" t="inlineStr">
        <is>
          <t>Melissa Hernandez</t>
        </is>
      </c>
      <c r="B83" s="14" t="inlineStr">
        <is>
          <t>April</t>
        </is>
      </c>
      <c r="C83" s="16" t="n">
        <v>0</v>
      </c>
      <c r="D83" s="26" t="n">
        <v>0</v>
      </c>
      <c r="E83" s="30" t="inlineStr">
        <is>
          <t>Below T1 - Minimum Requirement NOT met</t>
        </is>
      </c>
      <c r="F83" s="31" t="n">
        <v>0</v>
      </c>
    </row>
    <row r="84" ht="22" customHeight="1">
      <c r="A84" s="25" t="inlineStr">
        <is>
          <t>Flavia Parra</t>
        </is>
      </c>
      <c r="B84" s="14" t="inlineStr">
        <is>
          <t>March</t>
        </is>
      </c>
      <c r="C84" s="16" t="n">
        <v>0</v>
      </c>
      <c r="D84" s="26" t="n">
        <v>0</v>
      </c>
      <c r="E84" s="30" t="inlineStr">
        <is>
          <t>Below T1 - Minimum Requirement NOT met</t>
        </is>
      </c>
      <c r="F84" s="31" t="n">
        <v>0</v>
      </c>
    </row>
    <row r="85" ht="22" customHeight="1">
      <c r="A85" s="25" t="inlineStr">
        <is>
          <t>Monica Valdes</t>
        </is>
      </c>
      <c r="B85" s="14" t="inlineStr">
        <is>
          <t>March</t>
        </is>
      </c>
      <c r="C85" s="16" t="n">
        <v>0</v>
      </c>
      <c r="D85" s="26" t="n">
        <v>0</v>
      </c>
      <c r="E85" s="30" t="inlineStr">
        <is>
          <t>Below T1 - Minimum Requirement NOT met</t>
        </is>
      </c>
      <c r="F85" s="31" t="n">
        <v>0</v>
      </c>
    </row>
    <row r="86" ht="20" customHeight="1">
      <c r="A86" s="4" t="inlineStr">
        <is>
          <t>RWR tiers: T1 $45k=$100 | T2 $55k=$200 | T3 $70k=$275 | T4 $85k=$350 | T5 $100k=$500 | Above $100k: +$25 per $5k. RWR gated by NB minimum.</t>
        </is>
      </c>
    </row>
  </sheetData>
  <mergeCells count="8">
    <mergeCell ref="A2:F2"/>
    <mergeCell ref="A60:F60"/>
    <mergeCell ref="A1:F1"/>
    <mergeCell ref="A32:F32"/>
    <mergeCell ref="A58:F58"/>
    <mergeCell ref="A4:F4"/>
    <mergeCell ref="A30:F30"/>
    <mergeCell ref="A86:F86"/>
  </mergeCells>
  <conditionalFormatting sqref="D6:D29">
    <cfRule type="dataBar" priority="1">
      <dataBar showValue="0">
        <cfvo type="num" val="0"/>
        <cfvo type="num" val="120000"/>
        <color rgb="0063BE7B"/>
      </dataBar>
    </cfRule>
  </conditionalFormatting>
  <conditionalFormatting sqref="D34:D57">
    <cfRule type="dataBar" priority="2">
      <dataBar showValue="0">
        <cfvo type="num" val="0"/>
        <cfvo type="num" val="120000"/>
        <color rgb="0063BE7B"/>
      </dataBar>
    </cfRule>
  </conditionalFormatting>
  <conditionalFormatting sqref="D62:D85">
    <cfRule type="dataBar" priority="3">
      <dataBar showValue="0">
        <cfvo type="num" val="0"/>
        <cfvo type="num" val="120000"/>
        <color rgb="0063BE7B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22" customWidth="1" min="4" max="4"/>
    <col width="36" customWidth="1" min="5" max="5"/>
    <col width="14" customWidth="1" min="6" max="6"/>
    <col width="14" customWidth="1" min="7" max="7"/>
  </cols>
  <sheetData>
    <row r="1">
      <c r="A1" s="1" t="inlineStr">
        <is>
          <t>REN BONUS EXAMPLES - 6 agents x 4 months, three scenarios</t>
        </is>
      </c>
    </row>
    <row r="2">
      <c r="A2" s="4" t="inlineStr">
        <is>
          <t>Each row = one agent-month under REN. Sorted by REN premium descending. Progress bar = REN premium / $120k. Tier shows the bonus formula.</t>
        </is>
      </c>
    </row>
    <row r="4" ht="22" customHeight="1">
      <c r="A4" s="5" t="inlineStr">
        <is>
          <t>SCENARIO 1: REAL DATA (Jan-Apr 2026)</t>
        </is>
      </c>
    </row>
    <row r="5" ht="26" customHeight="1">
      <c r="A5" s="6" t="inlineStr">
        <is>
          <t>Agent</t>
        </is>
      </c>
      <c r="B5" s="6" t="inlineStr">
        <is>
          <t>Month</t>
        </is>
      </c>
      <c r="C5" s="6" t="inlineStr">
        <is>
          <t>REN Premium</t>
        </is>
      </c>
      <c r="D5" s="6" t="inlineStr">
        <is>
          <t>Progress Bar</t>
        </is>
      </c>
      <c r="E5" s="6" t="inlineStr">
        <is>
          <t>Tier</t>
        </is>
      </c>
      <c r="F5" s="6" t="inlineStr">
        <is>
          <t>Retention Kicker (75% assumed)</t>
        </is>
      </c>
      <c r="G5" s="6" t="inlineStr">
        <is>
          <t>Total Bonus $</t>
        </is>
      </c>
    </row>
    <row r="6" ht="22" customHeight="1">
      <c r="A6" s="25" t="inlineStr">
        <is>
          <t>Dialinerys Dieguez</t>
        </is>
      </c>
      <c r="B6" s="14" t="inlineStr">
        <is>
          <t>April</t>
        </is>
      </c>
      <c r="C6" s="16" t="n">
        <v>19575</v>
      </c>
      <c r="D6" s="26" t="n">
        <v>19575</v>
      </c>
      <c r="E6" s="30" t="inlineStr">
        <is>
          <t>Below T1 (need $25k REN premium)</t>
        </is>
      </c>
      <c r="F6" s="33" t="n">
        <v>0</v>
      </c>
      <c r="G6" s="31" t="n">
        <v>0</v>
      </c>
    </row>
    <row r="7" ht="22" customHeight="1">
      <c r="A7" s="25" t="inlineStr">
        <is>
          <t>Dialinerys Dieguez</t>
        </is>
      </c>
      <c r="B7" s="14" t="inlineStr">
        <is>
          <t>January</t>
        </is>
      </c>
      <c r="C7" s="16" t="n">
        <v>12530.47</v>
      </c>
      <c r="D7" s="26" t="n">
        <v>12530.47</v>
      </c>
      <c r="E7" s="30" t="inlineStr">
        <is>
          <t>Below T1 (need $25k REN premium)</t>
        </is>
      </c>
      <c r="F7" s="33" t="n">
        <v>0</v>
      </c>
      <c r="G7" s="31" t="n">
        <v>0</v>
      </c>
    </row>
    <row r="8" ht="22" customHeight="1">
      <c r="A8" s="25" t="inlineStr">
        <is>
          <t>Dialinerys Dieguez</t>
        </is>
      </c>
      <c r="B8" s="14" t="inlineStr">
        <is>
          <t>February</t>
        </is>
      </c>
      <c r="C8" s="16" t="n">
        <v>11629.68</v>
      </c>
      <c r="D8" s="26" t="n">
        <v>11629.68</v>
      </c>
      <c r="E8" s="30" t="inlineStr">
        <is>
          <t>Below T1 (need $25k REN premium)</t>
        </is>
      </c>
      <c r="F8" s="33" t="n">
        <v>0</v>
      </c>
      <c r="G8" s="31" t="n">
        <v>0</v>
      </c>
    </row>
    <row r="9" ht="22" customHeight="1">
      <c r="A9" s="25" t="inlineStr">
        <is>
          <t>Abel Guaina</t>
        </is>
      </c>
      <c r="B9" s="14" t="inlineStr">
        <is>
          <t>April</t>
        </is>
      </c>
      <c r="C9" s="16" t="n">
        <v>10935.99</v>
      </c>
      <c r="D9" s="26" t="n">
        <v>10935.99</v>
      </c>
      <c r="E9" s="30" t="inlineStr">
        <is>
          <t>Below T1 (need $25k REN premium)</t>
        </is>
      </c>
      <c r="F9" s="33" t="n">
        <v>0</v>
      </c>
      <c r="G9" s="31" t="n">
        <v>0</v>
      </c>
    </row>
    <row r="10" ht="22" customHeight="1">
      <c r="A10" s="25" t="inlineStr">
        <is>
          <t>Abel Guaina</t>
        </is>
      </c>
      <c r="B10" s="14" t="inlineStr">
        <is>
          <t>January</t>
        </is>
      </c>
      <c r="C10" s="16" t="n">
        <v>7605</v>
      </c>
      <c r="D10" s="26" t="n">
        <v>7605</v>
      </c>
      <c r="E10" s="30" t="inlineStr">
        <is>
          <t>Below T1 (need $25k REN premium)</t>
        </is>
      </c>
      <c r="F10" s="33" t="n">
        <v>0</v>
      </c>
      <c r="G10" s="31" t="n">
        <v>0</v>
      </c>
    </row>
    <row r="11" ht="22" customHeight="1">
      <c r="A11" s="25" t="inlineStr">
        <is>
          <t>Abel Guaina</t>
        </is>
      </c>
      <c r="B11" s="14" t="inlineStr">
        <is>
          <t>February</t>
        </is>
      </c>
      <c r="C11" s="16" t="n">
        <v>7517</v>
      </c>
      <c r="D11" s="26" t="n">
        <v>7517</v>
      </c>
      <c r="E11" s="30" t="inlineStr">
        <is>
          <t>Below T1 (need $25k REN premium)</t>
        </is>
      </c>
      <c r="F11" s="33" t="n">
        <v>0</v>
      </c>
      <c r="G11" s="31" t="n">
        <v>0</v>
      </c>
    </row>
    <row r="12" ht="22" customHeight="1">
      <c r="A12" s="25" t="inlineStr">
        <is>
          <t>Thalia Rojas</t>
        </is>
      </c>
      <c r="B12" s="14" t="inlineStr">
        <is>
          <t>February</t>
        </is>
      </c>
      <c r="C12" s="16" t="n">
        <v>7446</v>
      </c>
      <c r="D12" s="26" t="n">
        <v>7446</v>
      </c>
      <c r="E12" s="30" t="inlineStr">
        <is>
          <t>Below T1 (need $25k REN premium)</t>
        </is>
      </c>
      <c r="F12" s="33" t="n">
        <v>0</v>
      </c>
      <c r="G12" s="31" t="n">
        <v>0</v>
      </c>
    </row>
    <row r="13" ht="22" customHeight="1">
      <c r="A13" s="25" t="inlineStr">
        <is>
          <t>Monica Valdes</t>
        </is>
      </c>
      <c r="B13" s="14" t="inlineStr">
        <is>
          <t>January</t>
        </is>
      </c>
      <c r="C13" s="16" t="n">
        <v>6502.91</v>
      </c>
      <c r="D13" s="26" t="n">
        <v>6502.91</v>
      </c>
      <c r="E13" s="30" t="inlineStr">
        <is>
          <t>Below T1 (need $25k REN premium)</t>
        </is>
      </c>
      <c r="F13" s="33" t="n">
        <v>0</v>
      </c>
      <c r="G13" s="31" t="n">
        <v>0</v>
      </c>
    </row>
    <row r="14" ht="22" customHeight="1">
      <c r="A14" s="25" t="inlineStr">
        <is>
          <t>Dialinerys Dieguez</t>
        </is>
      </c>
      <c r="B14" s="14" t="inlineStr">
        <is>
          <t>March</t>
        </is>
      </c>
      <c r="C14" s="16" t="n">
        <v>5962.5</v>
      </c>
      <c r="D14" s="26" t="n">
        <v>5962.5</v>
      </c>
      <c r="E14" s="30" t="inlineStr">
        <is>
          <t>Below T1 (need $25k REN premium)</t>
        </is>
      </c>
      <c r="F14" s="33" t="n">
        <v>0</v>
      </c>
      <c r="G14" s="31" t="n">
        <v>0</v>
      </c>
    </row>
    <row r="15" ht="22" customHeight="1">
      <c r="A15" s="25" t="inlineStr">
        <is>
          <t>Thalia Rojas</t>
        </is>
      </c>
      <c r="B15" s="14" t="inlineStr">
        <is>
          <t>March</t>
        </is>
      </c>
      <c r="C15" s="16" t="n">
        <v>5643.9</v>
      </c>
      <c r="D15" s="26" t="n">
        <v>5643.9</v>
      </c>
      <c r="E15" s="30" t="inlineStr">
        <is>
          <t>Below T1 (need $25k REN premium)</t>
        </is>
      </c>
      <c r="F15" s="33" t="n">
        <v>0</v>
      </c>
      <c r="G15" s="31" t="n">
        <v>0</v>
      </c>
    </row>
    <row r="16" ht="22" customHeight="1">
      <c r="A16" s="25" t="inlineStr">
        <is>
          <t>Abel Guaina</t>
        </is>
      </c>
      <c r="B16" s="14" t="inlineStr">
        <is>
          <t>March</t>
        </is>
      </c>
      <c r="C16" s="16" t="n">
        <v>3901</v>
      </c>
      <c r="D16" s="26" t="n">
        <v>3901</v>
      </c>
      <c r="E16" s="30" t="inlineStr">
        <is>
          <t>Below T1 (need $25k REN premium)</t>
        </is>
      </c>
      <c r="F16" s="33" t="n">
        <v>0</v>
      </c>
      <c r="G16" s="31" t="n">
        <v>0</v>
      </c>
    </row>
    <row r="17" ht="22" customHeight="1">
      <c r="A17" s="25" t="inlineStr">
        <is>
          <t>Thalia Rojas</t>
        </is>
      </c>
      <c r="B17" s="14" t="inlineStr">
        <is>
          <t>January</t>
        </is>
      </c>
      <c r="C17" s="16" t="n">
        <v>3690</v>
      </c>
      <c r="D17" s="26" t="n">
        <v>3690</v>
      </c>
      <c r="E17" s="30" t="inlineStr">
        <is>
          <t>Below T1 (need $25k REN premium)</t>
        </is>
      </c>
      <c r="F17" s="33" t="n">
        <v>0</v>
      </c>
      <c r="G17" s="31" t="n">
        <v>0</v>
      </c>
    </row>
    <row r="18" ht="22" customHeight="1">
      <c r="A18" s="25" t="inlineStr">
        <is>
          <t>Thalia Rojas</t>
        </is>
      </c>
      <c r="B18" s="14" t="inlineStr">
        <is>
          <t>April</t>
        </is>
      </c>
      <c r="C18" s="16" t="n">
        <v>3617</v>
      </c>
      <c r="D18" s="26" t="n">
        <v>3617</v>
      </c>
      <c r="E18" s="30" t="inlineStr">
        <is>
          <t>Below T1 (need $25k REN premium)</t>
        </is>
      </c>
      <c r="F18" s="33" t="n">
        <v>0</v>
      </c>
      <c r="G18" s="31" t="n">
        <v>0</v>
      </c>
    </row>
    <row r="19" ht="22" customHeight="1">
      <c r="A19" s="25" t="inlineStr">
        <is>
          <t>Monica Valdes</t>
        </is>
      </c>
      <c r="B19" s="14" t="inlineStr">
        <is>
          <t>February</t>
        </is>
      </c>
      <c r="C19" s="16" t="n">
        <v>3092</v>
      </c>
      <c r="D19" s="26" t="n">
        <v>3092</v>
      </c>
      <c r="E19" s="30" t="inlineStr">
        <is>
          <t>Below T1 (need $25k REN premium)</t>
        </is>
      </c>
      <c r="F19" s="33" t="n">
        <v>0</v>
      </c>
      <c r="G19" s="31" t="n">
        <v>0</v>
      </c>
    </row>
    <row r="20" ht="22" customHeight="1">
      <c r="A20" s="25" t="inlineStr">
        <is>
          <t>Monica Valdes</t>
        </is>
      </c>
      <c r="B20" s="14" t="inlineStr">
        <is>
          <t>April</t>
        </is>
      </c>
      <c r="C20" s="16" t="n">
        <v>2514</v>
      </c>
      <c r="D20" s="26" t="n">
        <v>2514</v>
      </c>
      <c r="E20" s="30" t="inlineStr">
        <is>
          <t>Below T1 (need $25k REN premium)</t>
        </is>
      </c>
      <c r="F20" s="33" t="n">
        <v>0</v>
      </c>
      <c r="G20" s="31" t="n">
        <v>0</v>
      </c>
    </row>
    <row r="21" ht="22" customHeight="1">
      <c r="A21" s="25" t="inlineStr">
        <is>
          <t>Flavia Parra</t>
        </is>
      </c>
      <c r="B21" s="14" t="inlineStr">
        <is>
          <t>February</t>
        </is>
      </c>
      <c r="C21" s="16" t="n">
        <v>2099</v>
      </c>
      <c r="D21" s="26" t="n">
        <v>2099</v>
      </c>
      <c r="E21" s="30" t="inlineStr">
        <is>
          <t>Below T1 (need $25k REN premium)</t>
        </is>
      </c>
      <c r="F21" s="33" t="n">
        <v>0</v>
      </c>
      <c r="G21" s="31" t="n">
        <v>0</v>
      </c>
    </row>
    <row r="22" ht="22" customHeight="1">
      <c r="A22" s="25" t="inlineStr">
        <is>
          <t>Flavia Parra</t>
        </is>
      </c>
      <c r="B22" s="14" t="inlineStr">
        <is>
          <t>January</t>
        </is>
      </c>
      <c r="C22" s="16" t="n">
        <v>1464.35</v>
      </c>
      <c r="D22" s="26" t="n">
        <v>1464.35</v>
      </c>
      <c r="E22" s="30" t="inlineStr">
        <is>
          <t>Below T1 (need $25k REN premium)</t>
        </is>
      </c>
      <c r="F22" s="33" t="n">
        <v>0</v>
      </c>
      <c r="G22" s="31" t="n">
        <v>0</v>
      </c>
    </row>
    <row r="23" ht="22" customHeight="1">
      <c r="A23" s="25" t="inlineStr">
        <is>
          <t>Melissa Hernandez</t>
        </is>
      </c>
      <c r="B23" s="14" t="inlineStr">
        <is>
          <t>February</t>
        </is>
      </c>
      <c r="C23" s="16" t="n">
        <v>1063</v>
      </c>
      <c r="D23" s="26" t="n">
        <v>1063</v>
      </c>
      <c r="E23" s="30" t="inlineStr">
        <is>
          <t>Below T1 (need $25k REN premium)</t>
        </is>
      </c>
      <c r="F23" s="33" t="n">
        <v>0</v>
      </c>
      <c r="G23" s="31" t="n">
        <v>0</v>
      </c>
    </row>
    <row r="24" ht="22" customHeight="1">
      <c r="A24" s="25" t="inlineStr">
        <is>
          <t>Melissa Hernandez</t>
        </is>
      </c>
      <c r="B24" s="14" t="inlineStr">
        <is>
          <t>March</t>
        </is>
      </c>
      <c r="C24" s="16" t="n">
        <v>1034</v>
      </c>
      <c r="D24" s="26" t="n">
        <v>1034</v>
      </c>
      <c r="E24" s="30" t="inlineStr">
        <is>
          <t>Below T1 (need $25k REN premium)</t>
        </is>
      </c>
      <c r="F24" s="33" t="n">
        <v>0</v>
      </c>
      <c r="G24" s="31" t="n">
        <v>0</v>
      </c>
    </row>
    <row r="25" ht="22" customHeight="1">
      <c r="A25" s="25" t="inlineStr">
        <is>
          <t>Flavia Parra</t>
        </is>
      </c>
      <c r="B25" s="14" t="inlineStr">
        <is>
          <t>April</t>
        </is>
      </c>
      <c r="C25" s="16" t="n">
        <v>885</v>
      </c>
      <c r="D25" s="26" t="n">
        <v>885</v>
      </c>
      <c r="E25" s="30" t="inlineStr">
        <is>
          <t>Below T1 (need $25k REN premium)</t>
        </is>
      </c>
      <c r="F25" s="33" t="n">
        <v>0</v>
      </c>
      <c r="G25" s="31" t="n">
        <v>0</v>
      </c>
    </row>
    <row r="26" ht="22" customHeight="1">
      <c r="A26" s="25" t="inlineStr">
        <is>
          <t>Melissa Hernandez</t>
        </is>
      </c>
      <c r="B26" s="14" t="inlineStr">
        <is>
          <t>January</t>
        </is>
      </c>
      <c r="C26" s="16" t="n">
        <v>0</v>
      </c>
      <c r="D26" s="26" t="n">
        <v>0</v>
      </c>
      <c r="E26" s="30" t="inlineStr">
        <is>
          <t>Below T1 (need $25k REN premium)</t>
        </is>
      </c>
      <c r="F26" s="33" t="n">
        <v>0</v>
      </c>
      <c r="G26" s="31" t="n">
        <v>0</v>
      </c>
    </row>
    <row r="27" ht="22" customHeight="1">
      <c r="A27" s="25" t="inlineStr">
        <is>
          <t>Melissa Hernandez</t>
        </is>
      </c>
      <c r="B27" s="14" t="inlineStr">
        <is>
          <t>April</t>
        </is>
      </c>
      <c r="C27" s="16" t="n">
        <v>0</v>
      </c>
      <c r="D27" s="26" t="n">
        <v>0</v>
      </c>
      <c r="E27" s="30" t="inlineStr">
        <is>
          <t>Below T1 (need $25k REN premium)</t>
        </is>
      </c>
      <c r="F27" s="33" t="n">
        <v>0</v>
      </c>
      <c r="G27" s="31" t="n">
        <v>0</v>
      </c>
    </row>
    <row r="28" ht="22" customHeight="1">
      <c r="A28" s="25" t="inlineStr">
        <is>
          <t>Flavia Parra</t>
        </is>
      </c>
      <c r="B28" s="14" t="inlineStr">
        <is>
          <t>March</t>
        </is>
      </c>
      <c r="C28" s="16" t="n">
        <v>0</v>
      </c>
      <c r="D28" s="26" t="n">
        <v>0</v>
      </c>
      <c r="E28" s="30" t="inlineStr">
        <is>
          <t>Below T1 (need $25k REN premium)</t>
        </is>
      </c>
      <c r="F28" s="33" t="n">
        <v>0</v>
      </c>
      <c r="G28" s="31" t="n">
        <v>0</v>
      </c>
    </row>
    <row r="29" ht="22" customHeight="1">
      <c r="A29" s="25" t="inlineStr">
        <is>
          <t>Monica Valdes</t>
        </is>
      </c>
      <c r="B29" s="14" t="inlineStr">
        <is>
          <t>March</t>
        </is>
      </c>
      <c r="C29" s="16" t="n">
        <v>0</v>
      </c>
      <c r="D29" s="26" t="n">
        <v>0</v>
      </c>
      <c r="E29" s="30" t="inlineStr">
        <is>
          <t>Below T1 (need $25k REN premium)</t>
        </is>
      </c>
      <c r="F29" s="33" t="n">
        <v>0</v>
      </c>
      <c r="G29" s="31" t="n">
        <v>0</v>
      </c>
    </row>
    <row r="30" ht="20" customHeight="1">
      <c r="A30" s="4" t="inlineStr">
        <is>
          <t>REN tiers: T1 $25k=$250 | T2 $40k=$350 | T3 $65k=$450 | T4 $80k=$550 | T5 $100k=$800 (above $100k: +$40/$5k). Retention KICKER on top: 30-49%=$0, 50-74%=+$250, 75-99%=+$500, 100%=+$1,000. Model assumes 75% retention -&gt; +$500 kicker per eligible row.</t>
        </is>
      </c>
    </row>
    <row r="32" ht="22" customHeight="1">
      <c r="A32" s="5" t="inlineStr">
        <is>
          <t>SCENARIO 2: 50% SWAP (half of RWR -&gt; REN)</t>
        </is>
      </c>
    </row>
    <row r="33" ht="26" customHeight="1">
      <c r="A33" s="6" t="inlineStr">
        <is>
          <t>Agent</t>
        </is>
      </c>
      <c r="B33" s="6" t="inlineStr">
        <is>
          <t>Month</t>
        </is>
      </c>
      <c r="C33" s="6" t="inlineStr">
        <is>
          <t>REN Premium</t>
        </is>
      </c>
      <c r="D33" s="6" t="inlineStr">
        <is>
          <t>Progress Bar</t>
        </is>
      </c>
      <c r="E33" s="6" t="inlineStr">
        <is>
          <t>Tier</t>
        </is>
      </c>
      <c r="F33" s="6" t="inlineStr">
        <is>
          <t>Retention Kicker (75% assumed)</t>
        </is>
      </c>
      <c r="G33" s="6" t="inlineStr">
        <is>
          <t>Total Bonus $</t>
        </is>
      </c>
    </row>
    <row r="34" ht="22" customHeight="1">
      <c r="A34" s="25" t="inlineStr">
        <is>
          <t>Dialinerys Dieguez</t>
        </is>
      </c>
      <c r="B34" s="14" t="inlineStr">
        <is>
          <t>February</t>
        </is>
      </c>
      <c r="C34" s="16" t="n">
        <v>54401.98</v>
      </c>
      <c r="D34" s="26" t="n">
        <v>54401.98</v>
      </c>
      <c r="E34" s="27" t="inlineStr">
        <is>
          <t>Tier 2 (T2 $40k) - $350</t>
        </is>
      </c>
      <c r="F34" s="34" t="n">
        <v>500</v>
      </c>
      <c r="G34" s="28" t="n">
        <v>850</v>
      </c>
    </row>
    <row r="35" ht="22" customHeight="1">
      <c r="A35" s="25" t="inlineStr">
        <is>
          <t>Dialinerys Dieguez</t>
        </is>
      </c>
      <c r="B35" s="14" t="inlineStr">
        <is>
          <t>March</t>
        </is>
      </c>
      <c r="C35" s="16" t="n">
        <v>54076.675</v>
      </c>
      <c r="D35" s="26" t="n">
        <v>54076.675</v>
      </c>
      <c r="E35" s="27" t="inlineStr">
        <is>
          <t>Tier 2 (T2 $40k) - $350</t>
        </is>
      </c>
      <c r="F35" s="34" t="n">
        <v>500</v>
      </c>
      <c r="G35" s="28" t="n">
        <v>850</v>
      </c>
    </row>
    <row r="36" ht="22" customHeight="1">
      <c r="A36" s="25" t="inlineStr">
        <is>
          <t>Dialinerys Dieguez</t>
        </is>
      </c>
      <c r="B36" s="14" t="inlineStr">
        <is>
          <t>April</t>
        </is>
      </c>
      <c r="C36" s="16" t="n">
        <v>51657.715</v>
      </c>
      <c r="D36" s="26" t="n">
        <v>51657.715</v>
      </c>
      <c r="E36" s="27" t="inlineStr">
        <is>
          <t>Tier 2 (T2 $40k) - $350</t>
        </is>
      </c>
      <c r="F36" s="34" t="n">
        <v>500</v>
      </c>
      <c r="G36" s="28" t="n">
        <v>850</v>
      </c>
    </row>
    <row r="37" ht="22" customHeight="1">
      <c r="A37" s="25" t="inlineStr">
        <is>
          <t>Dialinerys Dieguez</t>
        </is>
      </c>
      <c r="B37" s="14" t="inlineStr">
        <is>
          <t>January</t>
        </is>
      </c>
      <c r="C37" s="16" t="n">
        <v>45368.16</v>
      </c>
      <c r="D37" s="26" t="n">
        <v>45368.16</v>
      </c>
      <c r="E37" s="27" t="inlineStr">
        <is>
          <t>Tier 2 (T2 $40k) - $350</t>
        </is>
      </c>
      <c r="F37" s="34" t="n">
        <v>500</v>
      </c>
      <c r="G37" s="28" t="n">
        <v>850</v>
      </c>
    </row>
    <row r="38" ht="22" customHeight="1">
      <c r="A38" s="25" t="inlineStr">
        <is>
          <t>Melissa Hernandez</t>
        </is>
      </c>
      <c r="B38" s="14" t="inlineStr">
        <is>
          <t>January</t>
        </is>
      </c>
      <c r="C38" s="16" t="n">
        <v>31687.25</v>
      </c>
      <c r="D38" s="26" t="n">
        <v>31687.25</v>
      </c>
      <c r="E38" s="29" t="inlineStr">
        <is>
          <t>Tier 1 (T1 $25k) - $250</t>
        </is>
      </c>
      <c r="F38" s="34" t="n">
        <v>500</v>
      </c>
      <c r="G38" s="28" t="n">
        <v>750</v>
      </c>
    </row>
    <row r="39" ht="22" customHeight="1">
      <c r="A39" s="25" t="inlineStr">
        <is>
          <t>Monica Valdes</t>
        </is>
      </c>
      <c r="B39" s="14" t="inlineStr">
        <is>
          <t>January</t>
        </is>
      </c>
      <c r="C39" s="16" t="n">
        <v>30809.39</v>
      </c>
      <c r="D39" s="26" t="n">
        <v>30809.39</v>
      </c>
      <c r="E39" s="29" t="inlineStr">
        <is>
          <t>Tier 1 (T1 $25k) - $250</t>
        </is>
      </c>
      <c r="F39" s="34" t="n">
        <v>500</v>
      </c>
      <c r="G39" s="28" t="n">
        <v>750</v>
      </c>
    </row>
    <row r="40" ht="22" customHeight="1">
      <c r="A40" s="25" t="inlineStr">
        <is>
          <t>Melissa Hernandez</t>
        </is>
      </c>
      <c r="B40" s="14" t="inlineStr">
        <is>
          <t>March</t>
        </is>
      </c>
      <c r="C40" s="16" t="n">
        <v>29464.3</v>
      </c>
      <c r="D40" s="26" t="n">
        <v>29464.3</v>
      </c>
      <c r="E40" s="29" t="inlineStr">
        <is>
          <t>Tier 1 (T1 $25k) - $250</t>
        </is>
      </c>
      <c r="F40" s="34" t="n">
        <v>500</v>
      </c>
      <c r="G40" s="28" t="n">
        <v>750</v>
      </c>
    </row>
    <row r="41" ht="22" customHeight="1">
      <c r="A41" s="25" t="inlineStr">
        <is>
          <t>Monica Valdes</t>
        </is>
      </c>
      <c r="B41" s="14" t="inlineStr">
        <is>
          <t>February</t>
        </is>
      </c>
      <c r="C41" s="16" t="n">
        <v>26706.09</v>
      </c>
      <c r="D41" s="26" t="n">
        <v>26706.09</v>
      </c>
      <c r="E41" s="29" t="inlineStr">
        <is>
          <t>Tier 1 (T1 $25k) - $250</t>
        </is>
      </c>
      <c r="F41" s="34" t="n">
        <v>500</v>
      </c>
      <c r="G41" s="28" t="n">
        <v>750</v>
      </c>
    </row>
    <row r="42" ht="22" customHeight="1">
      <c r="A42" s="25" t="inlineStr">
        <is>
          <t>Melissa Hernandez</t>
        </is>
      </c>
      <c r="B42" s="14" t="inlineStr">
        <is>
          <t>February</t>
        </is>
      </c>
      <c r="C42" s="16" t="n">
        <v>26058.35</v>
      </c>
      <c r="D42" s="26" t="n">
        <v>26058.35</v>
      </c>
      <c r="E42" s="29" t="inlineStr">
        <is>
          <t>Tier 1 (T1 $25k) - $250</t>
        </is>
      </c>
      <c r="F42" s="34" t="n">
        <v>500</v>
      </c>
      <c r="G42" s="28" t="n">
        <v>750</v>
      </c>
    </row>
    <row r="43" ht="22" customHeight="1">
      <c r="A43" s="25" t="inlineStr">
        <is>
          <t>Flavia Parra</t>
        </is>
      </c>
      <c r="B43" s="14" t="inlineStr">
        <is>
          <t>February</t>
        </is>
      </c>
      <c r="C43" s="16" t="n">
        <v>23942.725</v>
      </c>
      <c r="D43" s="26" t="n">
        <v>23942.725</v>
      </c>
      <c r="E43" s="30" t="inlineStr">
        <is>
          <t>Below T1 (need $25k REN premium)</t>
        </is>
      </c>
      <c r="F43" s="33" t="n">
        <v>0</v>
      </c>
      <c r="G43" s="31" t="n">
        <v>0</v>
      </c>
    </row>
    <row r="44" ht="22" customHeight="1">
      <c r="A44" s="25" t="inlineStr">
        <is>
          <t>Thalia Rojas</t>
        </is>
      </c>
      <c r="B44" s="14" t="inlineStr">
        <is>
          <t>April</t>
        </is>
      </c>
      <c r="C44" s="16" t="n">
        <v>23514.2</v>
      </c>
      <c r="D44" s="26" t="n">
        <v>23514.2</v>
      </c>
      <c r="E44" s="30" t="inlineStr">
        <is>
          <t>Below T1 (need $25k REN premium)</t>
        </is>
      </c>
      <c r="F44" s="33" t="n">
        <v>0</v>
      </c>
      <c r="G44" s="31" t="n">
        <v>0</v>
      </c>
    </row>
    <row r="45" ht="22" customHeight="1">
      <c r="A45" s="25" t="inlineStr">
        <is>
          <t>Abel Guaina</t>
        </is>
      </c>
      <c r="B45" s="14" t="inlineStr">
        <is>
          <t>February</t>
        </is>
      </c>
      <c r="C45" s="16" t="n">
        <v>22838.5</v>
      </c>
      <c r="D45" s="26" t="n">
        <v>22838.5</v>
      </c>
      <c r="E45" s="30" t="inlineStr">
        <is>
          <t>Below T1 (need $25k REN premium)</t>
        </is>
      </c>
      <c r="F45" s="33" t="n">
        <v>0</v>
      </c>
      <c r="G45" s="31" t="n">
        <v>0</v>
      </c>
    </row>
    <row r="46" ht="22" customHeight="1">
      <c r="A46" s="25" t="inlineStr">
        <is>
          <t>Melissa Hernandez</t>
        </is>
      </c>
      <c r="B46" s="14" t="inlineStr">
        <is>
          <t>April</t>
        </is>
      </c>
      <c r="C46" s="16" t="n">
        <v>21698.1</v>
      </c>
      <c r="D46" s="26" t="n">
        <v>21698.1</v>
      </c>
      <c r="E46" s="30" t="inlineStr">
        <is>
          <t>Below T1 (need $25k REN premium)</t>
        </is>
      </c>
      <c r="F46" s="33" t="n">
        <v>0</v>
      </c>
      <c r="G46" s="31" t="n">
        <v>0</v>
      </c>
    </row>
    <row r="47" ht="22" customHeight="1">
      <c r="A47" s="25" t="inlineStr">
        <is>
          <t>Thalia Rojas</t>
        </is>
      </c>
      <c r="B47" s="14" t="inlineStr">
        <is>
          <t>February</t>
        </is>
      </c>
      <c r="C47" s="16" t="n">
        <v>21595.08</v>
      </c>
      <c r="D47" s="26" t="n">
        <v>21595.08</v>
      </c>
      <c r="E47" s="30" t="inlineStr">
        <is>
          <t>Below T1 (need $25k REN premium)</t>
        </is>
      </c>
      <c r="F47" s="33" t="n">
        <v>0</v>
      </c>
      <c r="G47" s="31" t="n">
        <v>0</v>
      </c>
    </row>
    <row r="48" ht="22" customHeight="1">
      <c r="A48" s="25" t="inlineStr">
        <is>
          <t>Abel Guaina</t>
        </is>
      </c>
      <c r="B48" s="14" t="inlineStr">
        <is>
          <t>January</t>
        </is>
      </c>
      <c r="C48" s="16" t="n">
        <v>21364.25</v>
      </c>
      <c r="D48" s="26" t="n">
        <v>21364.25</v>
      </c>
      <c r="E48" s="30" t="inlineStr">
        <is>
          <t>Below T1 (need $25k REN premium)</t>
        </is>
      </c>
      <c r="F48" s="33" t="n">
        <v>0</v>
      </c>
      <c r="G48" s="31" t="n">
        <v>0</v>
      </c>
    </row>
    <row r="49" ht="22" customHeight="1">
      <c r="A49" s="25" t="inlineStr">
        <is>
          <t>Flavia Parra</t>
        </is>
      </c>
      <c r="B49" s="14" t="inlineStr">
        <is>
          <t>January</t>
        </is>
      </c>
      <c r="C49" s="16" t="n">
        <v>21243.375</v>
      </c>
      <c r="D49" s="26" t="n">
        <v>21243.375</v>
      </c>
      <c r="E49" s="30" t="inlineStr">
        <is>
          <t>Below T1 (need $25k REN premium)</t>
        </is>
      </c>
      <c r="F49" s="33" t="n">
        <v>0</v>
      </c>
      <c r="G49" s="31" t="n">
        <v>0</v>
      </c>
    </row>
    <row r="50" ht="22" customHeight="1">
      <c r="A50" s="25" t="inlineStr">
        <is>
          <t>Thalia Rojas</t>
        </is>
      </c>
      <c r="B50" s="14" t="inlineStr">
        <is>
          <t>January</t>
        </is>
      </c>
      <c r="C50" s="16" t="n">
        <v>20231.965</v>
      </c>
      <c r="D50" s="26" t="n">
        <v>20231.965</v>
      </c>
      <c r="E50" s="30" t="inlineStr">
        <is>
          <t>Below T1 (need $25k REN premium)</t>
        </is>
      </c>
      <c r="F50" s="33" t="n">
        <v>0</v>
      </c>
      <c r="G50" s="31" t="n">
        <v>0</v>
      </c>
    </row>
    <row r="51" ht="22" customHeight="1">
      <c r="A51" s="25" t="inlineStr">
        <is>
          <t>Monica Valdes</t>
        </is>
      </c>
      <c r="B51" s="14" t="inlineStr">
        <is>
          <t>April</t>
        </is>
      </c>
      <c r="C51" s="16" t="n">
        <v>20153.95</v>
      </c>
      <c r="D51" s="26" t="n">
        <v>20153.95</v>
      </c>
      <c r="E51" s="30" t="inlineStr">
        <is>
          <t>Below T1 (need $25k REN premium)</t>
        </is>
      </c>
      <c r="F51" s="33" t="n">
        <v>0</v>
      </c>
      <c r="G51" s="31" t="n">
        <v>0</v>
      </c>
    </row>
    <row r="52" ht="22" customHeight="1">
      <c r="A52" s="25" t="inlineStr">
        <is>
          <t>Monica Valdes</t>
        </is>
      </c>
      <c r="B52" s="14" t="inlineStr">
        <is>
          <t>March</t>
        </is>
      </c>
      <c r="C52" s="16" t="n">
        <v>19627.325</v>
      </c>
      <c r="D52" s="26" t="n">
        <v>19627.325</v>
      </c>
      <c r="E52" s="30" t="inlineStr">
        <is>
          <t>Below T1 (need $25k REN premium)</t>
        </is>
      </c>
      <c r="F52" s="33" t="n">
        <v>0</v>
      </c>
      <c r="G52" s="31" t="n">
        <v>0</v>
      </c>
    </row>
    <row r="53" ht="22" customHeight="1">
      <c r="A53" s="25" t="inlineStr">
        <is>
          <t>Abel Guaina</t>
        </is>
      </c>
      <c r="B53" s="14" t="inlineStr">
        <is>
          <t>April</t>
        </is>
      </c>
      <c r="C53" s="16" t="n">
        <v>18616.965</v>
      </c>
      <c r="D53" s="26" t="n">
        <v>18616.965</v>
      </c>
      <c r="E53" s="30" t="inlineStr">
        <is>
          <t>Below T1 (need $25k REN premium)</t>
        </is>
      </c>
      <c r="F53" s="33" t="n">
        <v>0</v>
      </c>
      <c r="G53" s="31" t="n">
        <v>0</v>
      </c>
    </row>
    <row r="54" ht="22" customHeight="1">
      <c r="A54" s="25" t="inlineStr">
        <is>
          <t>Abel Guaina</t>
        </is>
      </c>
      <c r="B54" s="14" t="inlineStr">
        <is>
          <t>March</t>
        </is>
      </c>
      <c r="C54" s="16" t="n">
        <v>16514.8</v>
      </c>
      <c r="D54" s="26" t="n">
        <v>16514.8</v>
      </c>
      <c r="E54" s="30" t="inlineStr">
        <is>
          <t>Below T1 (need $25k REN premium)</t>
        </is>
      </c>
      <c r="F54" s="33" t="n">
        <v>0</v>
      </c>
      <c r="G54" s="31" t="n">
        <v>0</v>
      </c>
    </row>
    <row r="55" ht="22" customHeight="1">
      <c r="A55" s="25" t="inlineStr">
        <is>
          <t>Flavia Parra</t>
        </is>
      </c>
      <c r="B55" s="14" t="inlineStr">
        <is>
          <t>April</t>
        </is>
      </c>
      <c r="C55" s="16" t="n">
        <v>16301.38</v>
      </c>
      <c r="D55" s="26" t="n">
        <v>16301.38</v>
      </c>
      <c r="E55" s="30" t="inlineStr">
        <is>
          <t>Below T1 (need $25k REN premium)</t>
        </is>
      </c>
      <c r="F55" s="33" t="n">
        <v>0</v>
      </c>
      <c r="G55" s="31" t="n">
        <v>0</v>
      </c>
    </row>
    <row r="56" ht="22" customHeight="1">
      <c r="A56" s="25" t="inlineStr">
        <is>
          <t>Thalia Rojas</t>
        </is>
      </c>
      <c r="B56" s="14" t="inlineStr">
        <is>
          <t>March</t>
        </is>
      </c>
      <c r="C56" s="16" t="n">
        <v>15564.325</v>
      </c>
      <c r="D56" s="26" t="n">
        <v>15564.325</v>
      </c>
      <c r="E56" s="30" t="inlineStr">
        <is>
          <t>Below T1 (need $25k REN premium)</t>
        </is>
      </c>
      <c r="F56" s="33" t="n">
        <v>0</v>
      </c>
      <c r="G56" s="31" t="n">
        <v>0</v>
      </c>
    </row>
    <row r="57" ht="22" customHeight="1">
      <c r="A57" s="25" t="inlineStr">
        <is>
          <t>Flavia Parra</t>
        </is>
      </c>
      <c r="B57" s="14" t="inlineStr">
        <is>
          <t>March</t>
        </is>
      </c>
      <c r="C57" s="16" t="n">
        <v>11763.35</v>
      </c>
      <c r="D57" s="26" t="n">
        <v>11763.35</v>
      </c>
      <c r="E57" s="30" t="inlineStr">
        <is>
          <t>Below T1 (need $25k REN premium)</t>
        </is>
      </c>
      <c r="F57" s="33" t="n">
        <v>0</v>
      </c>
      <c r="G57" s="31" t="n">
        <v>0</v>
      </c>
    </row>
    <row r="58" ht="20" customHeight="1">
      <c r="A58" s="4" t="inlineStr">
        <is>
          <t>REN tiers: T1 $25k=$250 | T2 $40k=$350 | T3 $65k=$450 | T4 $80k=$550 | T5 $100k=$800 (above $100k: +$40/$5k). Retention KICKER on top: 30-49%=$0, 50-74%=+$250, 75-99%=+$500, 100%=+$1,000. Model assumes 75% retention -&gt; +$500 kicker per eligible row.</t>
        </is>
      </c>
    </row>
    <row r="60" ht="22" customHeight="1">
      <c r="A60" s="5" t="inlineStr">
        <is>
          <t>SCENARIO 3: 100% FLIP (RWR fully -&gt; REN)</t>
        </is>
      </c>
    </row>
    <row r="61" ht="26" customHeight="1">
      <c r="A61" s="6" t="inlineStr">
        <is>
          <t>Agent</t>
        </is>
      </c>
      <c r="B61" s="6" t="inlineStr">
        <is>
          <t>Month</t>
        </is>
      </c>
      <c r="C61" s="6" t="inlineStr">
        <is>
          <t>REN Premium</t>
        </is>
      </c>
      <c r="D61" s="6" t="inlineStr">
        <is>
          <t>Progress Bar</t>
        </is>
      </c>
      <c r="E61" s="6" t="inlineStr">
        <is>
          <t>Tier</t>
        </is>
      </c>
      <c r="F61" s="6" t="inlineStr">
        <is>
          <t>Retention Kicker (75% assumed)</t>
        </is>
      </c>
      <c r="G61" s="6" t="inlineStr">
        <is>
          <t>Total Bonus $</t>
        </is>
      </c>
    </row>
    <row r="62" ht="22" customHeight="1">
      <c r="A62" s="25" t="inlineStr">
        <is>
          <t>Dialinerys Dieguez</t>
        </is>
      </c>
      <c r="B62" s="14" t="inlineStr">
        <is>
          <t>March</t>
        </is>
      </c>
      <c r="C62" s="16" t="n">
        <v>96228.35000000001</v>
      </c>
      <c r="D62" s="26" t="n">
        <v>96228.35000000001</v>
      </c>
      <c r="E62" s="32" t="inlineStr">
        <is>
          <t>Tier 4 (T4 $80k) - $550</t>
        </is>
      </c>
      <c r="F62" s="34" t="n">
        <v>500</v>
      </c>
      <c r="G62" s="28" t="n">
        <v>1050</v>
      </c>
    </row>
    <row r="63" ht="22" customHeight="1">
      <c r="A63" s="25" t="inlineStr">
        <is>
          <t>Dialinerys Dieguez</t>
        </is>
      </c>
      <c r="B63" s="14" t="inlineStr">
        <is>
          <t>February</t>
        </is>
      </c>
      <c r="C63" s="16" t="n">
        <v>85544.60000000001</v>
      </c>
      <c r="D63" s="26" t="n">
        <v>85544.60000000001</v>
      </c>
      <c r="E63" s="32" t="inlineStr">
        <is>
          <t>Tier 4 (T4 $80k) - $550</t>
        </is>
      </c>
      <c r="F63" s="34" t="n">
        <v>500</v>
      </c>
      <c r="G63" s="28" t="n">
        <v>1050</v>
      </c>
    </row>
    <row r="64" ht="22" customHeight="1">
      <c r="A64" s="25" t="inlineStr">
        <is>
          <t>Dialinerys Dieguez</t>
        </is>
      </c>
      <c r="B64" s="14" t="inlineStr">
        <is>
          <t>January</t>
        </is>
      </c>
      <c r="C64" s="16" t="n">
        <v>65675.38</v>
      </c>
      <c r="D64" s="26" t="n">
        <v>65675.38</v>
      </c>
      <c r="E64" s="35" t="inlineStr">
        <is>
          <t>Tier 3 (T3 $65k) - $450</t>
        </is>
      </c>
      <c r="F64" s="34" t="n">
        <v>500</v>
      </c>
      <c r="G64" s="28" t="n">
        <v>950</v>
      </c>
    </row>
    <row r="65" ht="22" customHeight="1">
      <c r="A65" s="25" t="inlineStr">
        <is>
          <t>Dialinerys Dieguez</t>
        </is>
      </c>
      <c r="B65" s="14" t="inlineStr">
        <is>
          <t>April</t>
        </is>
      </c>
      <c r="C65" s="16" t="n">
        <v>64165.43</v>
      </c>
      <c r="D65" s="26" t="n">
        <v>64165.43</v>
      </c>
      <c r="E65" s="27" t="inlineStr">
        <is>
          <t>Tier 2 (T2 $40k) - $350</t>
        </is>
      </c>
      <c r="F65" s="34" t="n">
        <v>500</v>
      </c>
      <c r="G65" s="28" t="n">
        <v>850</v>
      </c>
    </row>
    <row r="66" ht="22" customHeight="1">
      <c r="A66" s="25" t="inlineStr">
        <is>
          <t>Melissa Hernandez</t>
        </is>
      </c>
      <c r="B66" s="14" t="inlineStr">
        <is>
          <t>January</t>
        </is>
      </c>
      <c r="C66" s="16" t="n">
        <v>63374.5</v>
      </c>
      <c r="D66" s="26" t="n">
        <v>63374.5</v>
      </c>
      <c r="E66" s="27" t="inlineStr">
        <is>
          <t>Tier 2 (T2 $40k) - $350</t>
        </is>
      </c>
      <c r="F66" s="34" t="n">
        <v>500</v>
      </c>
      <c r="G66" s="28" t="n">
        <v>850</v>
      </c>
    </row>
    <row r="67" ht="22" customHeight="1">
      <c r="A67" s="25" t="inlineStr">
        <is>
          <t>Melissa Hernandez</t>
        </is>
      </c>
      <c r="B67" s="14" t="inlineStr">
        <is>
          <t>March</t>
        </is>
      </c>
      <c r="C67" s="16" t="n">
        <v>56860.6</v>
      </c>
      <c r="D67" s="26" t="n">
        <v>56860.6</v>
      </c>
      <c r="E67" s="27" t="inlineStr">
        <is>
          <t>Tier 2 (T2 $40k) - $350</t>
        </is>
      </c>
      <c r="F67" s="34" t="n">
        <v>500</v>
      </c>
      <c r="G67" s="28" t="n">
        <v>850</v>
      </c>
    </row>
    <row r="68" ht="22" customHeight="1">
      <c r="A68" s="25" t="inlineStr">
        <is>
          <t>Melissa Hernandez</t>
        </is>
      </c>
      <c r="B68" s="14" t="inlineStr">
        <is>
          <t>February</t>
        </is>
      </c>
      <c r="C68" s="16" t="n">
        <v>49990.7</v>
      </c>
      <c r="D68" s="26" t="n">
        <v>49990.7</v>
      </c>
      <c r="E68" s="27" t="inlineStr">
        <is>
          <t>Tier 2 (T2 $40k) - $350</t>
        </is>
      </c>
      <c r="F68" s="34" t="n">
        <v>500</v>
      </c>
      <c r="G68" s="28" t="n">
        <v>850</v>
      </c>
    </row>
    <row r="69" ht="22" customHeight="1">
      <c r="A69" s="25" t="inlineStr">
        <is>
          <t>Monica Valdes</t>
        </is>
      </c>
      <c r="B69" s="14" t="inlineStr">
        <is>
          <t>January</t>
        </is>
      </c>
      <c r="C69" s="16" t="n">
        <v>48612.96</v>
      </c>
      <c r="D69" s="26" t="n">
        <v>48612.96</v>
      </c>
      <c r="E69" s="27" t="inlineStr">
        <is>
          <t>Tier 2 (T2 $40k) - $350</t>
        </is>
      </c>
      <c r="F69" s="34" t="n">
        <v>500</v>
      </c>
      <c r="G69" s="28" t="n">
        <v>850</v>
      </c>
    </row>
    <row r="70" ht="22" customHeight="1">
      <c r="A70" s="25" t="inlineStr">
        <is>
          <t>Monica Valdes</t>
        </is>
      </c>
      <c r="B70" s="14" t="inlineStr">
        <is>
          <t>February</t>
        </is>
      </c>
      <c r="C70" s="16" t="n">
        <v>47228.18</v>
      </c>
      <c r="D70" s="26" t="n">
        <v>47228.18</v>
      </c>
      <c r="E70" s="27" t="inlineStr">
        <is>
          <t>Tier 2 (T2 $40k) - $350</t>
        </is>
      </c>
      <c r="F70" s="34" t="n">
        <v>500</v>
      </c>
      <c r="G70" s="28" t="n">
        <v>850</v>
      </c>
    </row>
    <row r="71" ht="22" customHeight="1">
      <c r="A71" s="25" t="inlineStr">
        <is>
          <t>Flavia Parra</t>
        </is>
      </c>
      <c r="B71" s="14" t="inlineStr">
        <is>
          <t>February</t>
        </is>
      </c>
      <c r="C71" s="16" t="n">
        <v>43687.45</v>
      </c>
      <c r="D71" s="26" t="n">
        <v>43687.45</v>
      </c>
      <c r="E71" s="27" t="inlineStr">
        <is>
          <t>Tier 2 (T2 $40k) - $350</t>
        </is>
      </c>
      <c r="F71" s="34" t="n">
        <v>500</v>
      </c>
      <c r="G71" s="28" t="n">
        <v>850</v>
      </c>
    </row>
    <row r="72" ht="22" customHeight="1">
      <c r="A72" s="25" t="inlineStr">
        <is>
          <t>Melissa Hernandez</t>
        </is>
      </c>
      <c r="B72" s="14" t="inlineStr">
        <is>
          <t>April</t>
        </is>
      </c>
      <c r="C72" s="16" t="n">
        <v>43396.2</v>
      </c>
      <c r="D72" s="26" t="n">
        <v>43396.2</v>
      </c>
      <c r="E72" s="27" t="inlineStr">
        <is>
          <t>Tier 2 (T2 $40k) - $350</t>
        </is>
      </c>
      <c r="F72" s="34" t="n">
        <v>500</v>
      </c>
      <c r="G72" s="28" t="n">
        <v>850</v>
      </c>
    </row>
    <row r="73" ht="22" customHeight="1">
      <c r="A73" s="25" t="inlineStr">
        <is>
          <t>Thalia Rojas</t>
        </is>
      </c>
      <c r="B73" s="14" t="inlineStr">
        <is>
          <t>April</t>
        </is>
      </c>
      <c r="C73" s="16" t="n">
        <v>39794.4</v>
      </c>
      <c r="D73" s="26" t="n">
        <v>39794.4</v>
      </c>
      <c r="E73" s="29" t="inlineStr">
        <is>
          <t>Tier 1 (T1 $25k) - $250</t>
        </is>
      </c>
      <c r="F73" s="34" t="n">
        <v>500</v>
      </c>
      <c r="G73" s="28" t="n">
        <v>750</v>
      </c>
    </row>
    <row r="74" ht="22" customHeight="1">
      <c r="A74" s="25" t="inlineStr">
        <is>
          <t>Flavia Parra</t>
        </is>
      </c>
      <c r="B74" s="14" t="inlineStr">
        <is>
          <t>January</t>
        </is>
      </c>
      <c r="C74" s="16" t="n">
        <v>39558.05</v>
      </c>
      <c r="D74" s="26" t="n">
        <v>39558.05</v>
      </c>
      <c r="E74" s="29" t="inlineStr">
        <is>
          <t>Tier 1 (T1 $25k) - $250</t>
        </is>
      </c>
      <c r="F74" s="34" t="n">
        <v>500</v>
      </c>
      <c r="G74" s="28" t="n">
        <v>750</v>
      </c>
    </row>
    <row r="75" ht="22" customHeight="1">
      <c r="A75" s="25" t="inlineStr">
        <is>
          <t>Monica Valdes</t>
        </is>
      </c>
      <c r="B75" s="14" t="inlineStr">
        <is>
          <t>March</t>
        </is>
      </c>
      <c r="C75" s="16" t="n">
        <v>39254.65</v>
      </c>
      <c r="D75" s="26" t="n">
        <v>39254.65</v>
      </c>
      <c r="E75" s="29" t="inlineStr">
        <is>
          <t>Tier 1 (T1 $25k) - $250</t>
        </is>
      </c>
      <c r="F75" s="34" t="n">
        <v>500</v>
      </c>
      <c r="G75" s="28" t="n">
        <v>750</v>
      </c>
    </row>
    <row r="76" ht="22" customHeight="1">
      <c r="A76" s="25" t="inlineStr">
        <is>
          <t>Monica Valdes</t>
        </is>
      </c>
      <c r="B76" s="14" t="inlineStr">
        <is>
          <t>April</t>
        </is>
      </c>
      <c r="C76" s="16" t="n">
        <v>35279.9</v>
      </c>
      <c r="D76" s="26" t="n">
        <v>35279.9</v>
      </c>
      <c r="E76" s="29" t="inlineStr">
        <is>
          <t>Tier 1 (T1 $25k) - $250</t>
        </is>
      </c>
      <c r="F76" s="34" t="n">
        <v>500</v>
      </c>
      <c r="G76" s="28" t="n">
        <v>750</v>
      </c>
    </row>
    <row r="77" ht="22" customHeight="1">
      <c r="A77" s="25" t="inlineStr">
        <is>
          <t>Thalia Rojas</t>
        </is>
      </c>
      <c r="B77" s="14" t="inlineStr">
        <is>
          <t>January</t>
        </is>
      </c>
      <c r="C77" s="16" t="n">
        <v>33083.93</v>
      </c>
      <c r="D77" s="26" t="n">
        <v>33083.93</v>
      </c>
      <c r="E77" s="29" t="inlineStr">
        <is>
          <t>Tier 1 (T1 $25k) - $250</t>
        </is>
      </c>
      <c r="F77" s="34" t="n">
        <v>500</v>
      </c>
      <c r="G77" s="28" t="n">
        <v>750</v>
      </c>
    </row>
    <row r="78" ht="22" customHeight="1">
      <c r="A78" s="25" t="inlineStr">
        <is>
          <t>Flavia Parra</t>
        </is>
      </c>
      <c r="B78" s="14" t="inlineStr">
        <is>
          <t>April</t>
        </is>
      </c>
      <c r="C78" s="16" t="n">
        <v>30832.76</v>
      </c>
      <c r="D78" s="26" t="n">
        <v>30832.76</v>
      </c>
      <c r="E78" s="29" t="inlineStr">
        <is>
          <t>Tier 1 (T1 $25k) - $250</t>
        </is>
      </c>
      <c r="F78" s="34" t="n">
        <v>500</v>
      </c>
      <c r="G78" s="28" t="n">
        <v>750</v>
      </c>
    </row>
    <row r="79" ht="22" customHeight="1">
      <c r="A79" s="25" t="inlineStr">
        <is>
          <t>Abel Guaina</t>
        </is>
      </c>
      <c r="B79" s="14" t="inlineStr">
        <is>
          <t>February</t>
        </is>
      </c>
      <c r="C79" s="16" t="n">
        <v>30643</v>
      </c>
      <c r="D79" s="26" t="n">
        <v>30643</v>
      </c>
      <c r="E79" s="29" t="inlineStr">
        <is>
          <t>Tier 1 (T1 $25k) - $250</t>
        </is>
      </c>
      <c r="F79" s="34" t="n">
        <v>500</v>
      </c>
      <c r="G79" s="28" t="n">
        <v>750</v>
      </c>
    </row>
    <row r="80" ht="22" customHeight="1">
      <c r="A80" s="25" t="inlineStr">
        <is>
          <t>Thalia Rojas</t>
        </is>
      </c>
      <c r="B80" s="14" t="inlineStr">
        <is>
          <t>February</t>
        </is>
      </c>
      <c r="C80" s="16" t="n">
        <v>28298.16</v>
      </c>
      <c r="D80" s="26" t="n">
        <v>28298.16</v>
      </c>
      <c r="E80" s="29" t="inlineStr">
        <is>
          <t>Tier 1 (T1 $25k) - $250</t>
        </is>
      </c>
      <c r="F80" s="34" t="n">
        <v>500</v>
      </c>
      <c r="G80" s="28" t="n">
        <v>750</v>
      </c>
    </row>
    <row r="81" ht="22" customHeight="1">
      <c r="A81" s="25" t="inlineStr">
        <is>
          <t>Abel Guaina</t>
        </is>
      </c>
      <c r="B81" s="14" t="inlineStr">
        <is>
          <t>January</t>
        </is>
      </c>
      <c r="C81" s="16" t="n">
        <v>27518.5</v>
      </c>
      <c r="D81" s="26" t="n">
        <v>27518.5</v>
      </c>
      <c r="E81" s="29" t="inlineStr">
        <is>
          <t>Tier 1 (T1 $25k) - $250</t>
        </is>
      </c>
      <c r="F81" s="34" t="n">
        <v>500</v>
      </c>
      <c r="G81" s="28" t="n">
        <v>750</v>
      </c>
    </row>
    <row r="82" ht="22" customHeight="1">
      <c r="A82" s="25" t="inlineStr">
        <is>
          <t>Abel Guaina</t>
        </is>
      </c>
      <c r="B82" s="14" t="inlineStr">
        <is>
          <t>March</t>
        </is>
      </c>
      <c r="C82" s="16" t="n">
        <v>25227.6</v>
      </c>
      <c r="D82" s="26" t="n">
        <v>25227.6</v>
      </c>
      <c r="E82" s="29" t="inlineStr">
        <is>
          <t>Tier 1 (T1 $25k) - $250</t>
        </is>
      </c>
      <c r="F82" s="34" t="n">
        <v>500</v>
      </c>
      <c r="G82" s="28" t="n">
        <v>750</v>
      </c>
    </row>
    <row r="83" ht="22" customHeight="1">
      <c r="A83" s="25" t="inlineStr">
        <is>
          <t>Flavia Parra</t>
        </is>
      </c>
      <c r="B83" s="14" t="inlineStr">
        <is>
          <t>March</t>
        </is>
      </c>
      <c r="C83" s="16" t="n">
        <v>23526.7</v>
      </c>
      <c r="D83" s="26" t="n">
        <v>23526.7</v>
      </c>
      <c r="E83" s="30" t="inlineStr">
        <is>
          <t>Below T1 (need $25k REN premium)</t>
        </is>
      </c>
      <c r="F83" s="33" t="n">
        <v>0</v>
      </c>
      <c r="G83" s="31" t="n">
        <v>0</v>
      </c>
    </row>
    <row r="84" ht="22" customHeight="1">
      <c r="A84" s="25" t="inlineStr">
        <is>
          <t>Thalia Rojas</t>
        </is>
      </c>
      <c r="B84" s="14" t="inlineStr">
        <is>
          <t>March</t>
        </is>
      </c>
      <c r="C84" s="16" t="n">
        <v>19840.85</v>
      </c>
      <c r="D84" s="26" t="n">
        <v>19840.85</v>
      </c>
      <c r="E84" s="30" t="inlineStr">
        <is>
          <t>Below T1 (need $25k REN premium)</t>
        </is>
      </c>
      <c r="F84" s="33" t="n">
        <v>0</v>
      </c>
      <c r="G84" s="31" t="n">
        <v>0</v>
      </c>
    </row>
    <row r="85" ht="22" customHeight="1">
      <c r="A85" s="25" t="inlineStr">
        <is>
          <t>Abel Guaina</t>
        </is>
      </c>
      <c r="B85" s="14" t="inlineStr">
        <is>
          <t>April</t>
        </is>
      </c>
      <c r="C85" s="16" t="n">
        <v>15361.95</v>
      </c>
      <c r="D85" s="26" t="n">
        <v>15361.95</v>
      </c>
      <c r="E85" s="30" t="inlineStr">
        <is>
          <t>Below T1 (need $25k REN premium)</t>
        </is>
      </c>
      <c r="F85" s="33" t="n">
        <v>0</v>
      </c>
      <c r="G85" s="31" t="n">
        <v>0</v>
      </c>
    </row>
    <row r="86" ht="20" customHeight="1">
      <c r="A86" s="4" t="inlineStr">
        <is>
          <t>REN tiers: T1 $25k=$250 | T2 $40k=$350 | T3 $65k=$450 | T4 $80k=$550 | T5 $100k=$800 (above $100k: +$40/$5k). Retention KICKER on top: 30-49%=$0, 50-74%=+$250, 75-99%=+$500, 100%=+$1,000. Model assumes 75% retention -&gt; +$500 kicker per eligible row.</t>
        </is>
      </c>
    </row>
  </sheetData>
  <mergeCells count="8">
    <mergeCell ref="A32:G32"/>
    <mergeCell ref="A2:F2"/>
    <mergeCell ref="A58:G58"/>
    <mergeCell ref="A1:F1"/>
    <mergeCell ref="A4:G4"/>
    <mergeCell ref="A30:G30"/>
    <mergeCell ref="A86:G86"/>
    <mergeCell ref="A60:G60"/>
  </mergeCells>
  <conditionalFormatting sqref="D6:D29">
    <cfRule type="dataBar" priority="1">
      <dataBar showValue="0">
        <cfvo type="num" val="0"/>
        <cfvo type="num" val="120000"/>
        <color rgb="0063BE7B"/>
      </dataBar>
    </cfRule>
  </conditionalFormatting>
  <conditionalFormatting sqref="D34:D57">
    <cfRule type="dataBar" priority="2">
      <dataBar showValue="0">
        <cfvo type="num" val="0"/>
        <cfvo type="num" val="120000"/>
        <color rgb="0063BE7B"/>
      </dataBar>
    </cfRule>
  </conditionalFormatting>
  <conditionalFormatting sqref="D62:D85">
    <cfRule type="dataBar" priority="3">
      <dataBar showValue="0">
        <cfvo type="num" val="0"/>
        <cfvo type="num" val="120000"/>
        <color rgb="0063BE7B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20" customWidth="1" min="9" max="9"/>
    <col width="16" customWidth="1" min="10" max="10"/>
  </cols>
  <sheetData>
    <row r="1">
      <c r="A1" s="1" t="inlineStr">
        <is>
          <t>COMBINED BONUS EXAMPLES - NB + RWR + REN per agent-month, three scenarios</t>
        </is>
      </c>
    </row>
    <row r="2">
      <c r="A2" s="4" t="inlineStr">
        <is>
          <t>Each row = one agent-month. Shows the NB, RWR, and REN bonus side by side and the TOTAL BONUS for the month. REN bonus already includes the assumed +$500 retention kicker (75% rate). Sorted by total bonus descending. Bonus cells that paid are shaded green; red total = nothing paid (NB minimum not met).</t>
        </is>
      </c>
    </row>
    <row r="4" ht="22" customHeight="1">
      <c r="A4" s="5" t="inlineStr">
        <is>
          <t>SCENARIO 1: REAL DATA (Jan-Apr 2026)</t>
        </is>
      </c>
    </row>
    <row r="5" ht="26" customHeight="1">
      <c r="A5" s="6" t="inlineStr">
        <is>
          <t>Agent</t>
        </is>
      </c>
      <c r="B5" s="6" t="inlineStr">
        <is>
          <t>Month</t>
        </is>
      </c>
      <c r="C5" s="6" t="inlineStr">
        <is>
          <t>NB Premium</t>
        </is>
      </c>
      <c r="D5" s="6" t="inlineStr">
        <is>
          <t>NB Bonus</t>
        </is>
      </c>
      <c r="E5" s="6" t="inlineStr">
        <is>
          <t>RWR Premium</t>
        </is>
      </c>
      <c r="F5" s="6" t="inlineStr">
        <is>
          <t>RWR Bonus</t>
        </is>
      </c>
      <c r="G5" s="6" t="inlineStr">
        <is>
          <t>REN Premium</t>
        </is>
      </c>
      <c r="H5" s="6" t="inlineStr">
        <is>
          <t>REN Bonus</t>
        </is>
      </c>
      <c r="I5" s="6" t="inlineStr">
        <is>
          <t>Progress Bar</t>
        </is>
      </c>
      <c r="J5" s="6" t="inlineStr">
        <is>
          <t>TOTAL BONUS</t>
        </is>
      </c>
    </row>
    <row r="6" ht="22" customHeight="1">
      <c r="A6" s="25" t="inlineStr">
        <is>
          <t>Dialinerys Dieguez</t>
        </is>
      </c>
      <c r="B6" s="14" t="inlineStr">
        <is>
          <t>March</t>
        </is>
      </c>
      <c r="C6" s="16" t="n">
        <v>52434.9</v>
      </c>
      <c r="D6" s="36" t="n">
        <v>250</v>
      </c>
      <c r="E6" s="16" t="n">
        <v>96228.35000000001</v>
      </c>
      <c r="F6" s="36" t="n">
        <v>350</v>
      </c>
      <c r="G6" s="16" t="n">
        <v>5962.5</v>
      </c>
      <c r="H6" s="37" t="n">
        <v>0</v>
      </c>
      <c r="I6" s="26" t="n">
        <v>600</v>
      </c>
      <c r="J6" s="38" t="n">
        <v>600</v>
      </c>
    </row>
    <row r="7" ht="22" customHeight="1">
      <c r="A7" s="25" t="inlineStr">
        <is>
          <t>Dialinerys Dieguez</t>
        </is>
      </c>
      <c r="B7" s="14" t="inlineStr">
        <is>
          <t>April</t>
        </is>
      </c>
      <c r="C7" s="16" t="n">
        <v>49689.35</v>
      </c>
      <c r="D7" s="36" t="n">
        <v>250</v>
      </c>
      <c r="E7" s="16" t="n">
        <v>64165.43</v>
      </c>
      <c r="F7" s="36" t="n">
        <v>200</v>
      </c>
      <c r="G7" s="16" t="n">
        <v>19575</v>
      </c>
      <c r="H7" s="37" t="n">
        <v>0</v>
      </c>
      <c r="I7" s="26" t="n">
        <v>450</v>
      </c>
      <c r="J7" s="38" t="n">
        <v>450</v>
      </c>
    </row>
    <row r="8" ht="22" customHeight="1">
      <c r="A8" s="25" t="inlineStr">
        <is>
          <t>Monica Valdes</t>
        </is>
      </c>
      <c r="B8" s="14" t="inlineStr">
        <is>
          <t>March</t>
        </is>
      </c>
      <c r="C8" s="16" t="n">
        <v>68546.22</v>
      </c>
      <c r="D8" s="36" t="n">
        <v>375</v>
      </c>
      <c r="E8" s="16" t="n">
        <v>39254.65</v>
      </c>
      <c r="F8" s="37" t="n">
        <v>0</v>
      </c>
      <c r="G8" s="16" t="n">
        <v>0</v>
      </c>
      <c r="H8" s="37" t="n">
        <v>0</v>
      </c>
      <c r="I8" s="26" t="n">
        <v>375</v>
      </c>
      <c r="J8" s="38" t="n">
        <v>375</v>
      </c>
    </row>
    <row r="9" ht="22" customHeight="1">
      <c r="A9" s="25" t="inlineStr">
        <is>
          <t>Abel Guaina</t>
        </is>
      </c>
      <c r="B9" s="14" t="inlineStr">
        <is>
          <t>March</t>
        </is>
      </c>
      <c r="C9" s="16" t="n">
        <v>46523.37</v>
      </c>
      <c r="D9" s="36" t="n">
        <v>250</v>
      </c>
      <c r="E9" s="16" t="n">
        <v>25227.6</v>
      </c>
      <c r="F9" s="37" t="n">
        <v>0</v>
      </c>
      <c r="G9" s="16" t="n">
        <v>3901</v>
      </c>
      <c r="H9" s="37" t="n">
        <v>0</v>
      </c>
      <c r="I9" s="26" t="n">
        <v>250</v>
      </c>
      <c r="J9" s="38" t="n">
        <v>250</v>
      </c>
    </row>
    <row r="10" ht="22" customHeight="1">
      <c r="A10" s="25" t="inlineStr">
        <is>
          <t>Abel Guaina</t>
        </is>
      </c>
      <c r="B10" s="14" t="inlineStr">
        <is>
          <t>January</t>
        </is>
      </c>
      <c r="C10" s="16" t="n">
        <v>38611.42</v>
      </c>
      <c r="D10" s="37" t="n">
        <v>0</v>
      </c>
      <c r="E10" s="16" t="n">
        <v>27518.5</v>
      </c>
      <c r="F10" s="37" t="n">
        <v>0</v>
      </c>
      <c r="G10" s="16" t="n">
        <v>7605</v>
      </c>
      <c r="H10" s="37" t="n">
        <v>0</v>
      </c>
      <c r="I10" s="26" t="n">
        <v>0</v>
      </c>
      <c r="J10" s="39" t="n">
        <v>0</v>
      </c>
    </row>
    <row r="11" ht="22" customHeight="1">
      <c r="A11" s="25" t="inlineStr">
        <is>
          <t>Abel Guaina</t>
        </is>
      </c>
      <c r="B11" s="14" t="inlineStr">
        <is>
          <t>February</t>
        </is>
      </c>
      <c r="C11" s="16" t="n">
        <v>25367</v>
      </c>
      <c r="D11" s="37" t="n">
        <v>0</v>
      </c>
      <c r="E11" s="16" t="n">
        <v>30643</v>
      </c>
      <c r="F11" s="37" t="n">
        <v>0</v>
      </c>
      <c r="G11" s="16" t="n">
        <v>7517</v>
      </c>
      <c r="H11" s="37" t="n">
        <v>0</v>
      </c>
      <c r="I11" s="26" t="n">
        <v>0</v>
      </c>
      <c r="J11" s="39" t="n">
        <v>0</v>
      </c>
    </row>
    <row r="12" ht="22" customHeight="1">
      <c r="A12" s="25" t="inlineStr">
        <is>
          <t>Abel Guaina</t>
        </is>
      </c>
      <c r="B12" s="14" t="inlineStr">
        <is>
          <t>April</t>
        </is>
      </c>
      <c r="C12" s="16" t="n">
        <v>37825.93</v>
      </c>
      <c r="D12" s="37" t="n">
        <v>0</v>
      </c>
      <c r="E12" s="16" t="n">
        <v>15361.95</v>
      </c>
      <c r="F12" s="37" t="n">
        <v>0</v>
      </c>
      <c r="G12" s="16" t="n">
        <v>10935.99</v>
      </c>
      <c r="H12" s="37" t="n">
        <v>0</v>
      </c>
      <c r="I12" s="26" t="n">
        <v>0</v>
      </c>
      <c r="J12" s="39" t="n">
        <v>0</v>
      </c>
    </row>
    <row r="13" ht="22" customHeight="1">
      <c r="A13" s="25" t="inlineStr">
        <is>
          <t>Dialinerys Dieguez</t>
        </is>
      </c>
      <c r="B13" s="14" t="inlineStr">
        <is>
          <t>January</t>
        </is>
      </c>
      <c r="C13" s="16" t="n">
        <v>40249.26</v>
      </c>
      <c r="D13" s="37" t="n">
        <v>0</v>
      </c>
      <c r="E13" s="16" t="n">
        <v>65675.38</v>
      </c>
      <c r="F13" s="37" t="n">
        <v>0</v>
      </c>
      <c r="G13" s="16" t="n">
        <v>12530.47</v>
      </c>
      <c r="H13" s="37" t="n">
        <v>0</v>
      </c>
      <c r="I13" s="26" t="n">
        <v>0</v>
      </c>
      <c r="J13" s="39" t="n">
        <v>0</v>
      </c>
    </row>
    <row r="14" ht="22" customHeight="1">
      <c r="A14" s="25" t="inlineStr">
        <is>
          <t>Dialinerys Dieguez</t>
        </is>
      </c>
      <c r="B14" s="14" t="inlineStr">
        <is>
          <t>February</t>
        </is>
      </c>
      <c r="C14" s="16" t="n">
        <v>30057.89</v>
      </c>
      <c r="D14" s="37" t="n">
        <v>0</v>
      </c>
      <c r="E14" s="16" t="n">
        <v>85544.60000000001</v>
      </c>
      <c r="F14" s="37" t="n">
        <v>0</v>
      </c>
      <c r="G14" s="16" t="n">
        <v>11629.68</v>
      </c>
      <c r="H14" s="37" t="n">
        <v>0</v>
      </c>
      <c r="I14" s="26" t="n">
        <v>0</v>
      </c>
      <c r="J14" s="39" t="n">
        <v>0</v>
      </c>
    </row>
    <row r="15" ht="22" customHeight="1">
      <c r="A15" s="25" t="inlineStr">
        <is>
          <t>Melissa Hernandez</t>
        </is>
      </c>
      <c r="B15" s="14" t="inlineStr">
        <is>
          <t>January</t>
        </is>
      </c>
      <c r="C15" s="16" t="n">
        <v>37039</v>
      </c>
      <c r="D15" s="37" t="n">
        <v>0</v>
      </c>
      <c r="E15" s="16" t="n">
        <v>63374.5</v>
      </c>
      <c r="F15" s="37" t="n">
        <v>0</v>
      </c>
      <c r="G15" s="16" t="n">
        <v>0</v>
      </c>
      <c r="H15" s="37" t="n">
        <v>0</v>
      </c>
      <c r="I15" s="26" t="n">
        <v>0</v>
      </c>
      <c r="J15" s="39" t="n">
        <v>0</v>
      </c>
    </row>
    <row r="16" ht="22" customHeight="1">
      <c r="A16" s="25" t="inlineStr">
        <is>
          <t>Melissa Hernandez</t>
        </is>
      </c>
      <c r="B16" s="14" t="inlineStr">
        <is>
          <t>February</t>
        </is>
      </c>
      <c r="C16" s="16" t="n">
        <v>7659.5</v>
      </c>
      <c r="D16" s="37" t="n">
        <v>0</v>
      </c>
      <c r="E16" s="16" t="n">
        <v>49990.7</v>
      </c>
      <c r="F16" s="37" t="n">
        <v>0</v>
      </c>
      <c r="G16" s="16" t="n">
        <v>1063</v>
      </c>
      <c r="H16" s="37" t="n">
        <v>0</v>
      </c>
      <c r="I16" s="26" t="n">
        <v>0</v>
      </c>
      <c r="J16" s="39" t="n">
        <v>0</v>
      </c>
    </row>
    <row r="17" ht="22" customHeight="1">
      <c r="A17" s="25" t="inlineStr">
        <is>
          <t>Melissa Hernandez</t>
        </is>
      </c>
      <c r="B17" s="14" t="inlineStr">
        <is>
          <t>March</t>
        </is>
      </c>
      <c r="C17" s="16" t="n">
        <v>39759.7</v>
      </c>
      <c r="D17" s="37" t="n">
        <v>0</v>
      </c>
      <c r="E17" s="16" t="n">
        <v>56860.6</v>
      </c>
      <c r="F17" s="37" t="n">
        <v>0</v>
      </c>
      <c r="G17" s="16" t="n">
        <v>1034</v>
      </c>
      <c r="H17" s="37" t="n">
        <v>0</v>
      </c>
      <c r="I17" s="26" t="n">
        <v>0</v>
      </c>
      <c r="J17" s="39" t="n">
        <v>0</v>
      </c>
    </row>
    <row r="18" ht="22" customHeight="1">
      <c r="A18" s="25" t="inlineStr">
        <is>
          <t>Melissa Hernandez</t>
        </is>
      </c>
      <c r="B18" s="14" t="inlineStr">
        <is>
          <t>April</t>
        </is>
      </c>
      <c r="C18" s="16" t="n">
        <v>19288.35</v>
      </c>
      <c r="D18" s="37" t="n">
        <v>0</v>
      </c>
      <c r="E18" s="16" t="n">
        <v>43396.2</v>
      </c>
      <c r="F18" s="37" t="n">
        <v>0</v>
      </c>
      <c r="G18" s="16" t="n">
        <v>0</v>
      </c>
      <c r="H18" s="37" t="n">
        <v>0</v>
      </c>
      <c r="I18" s="26" t="n">
        <v>0</v>
      </c>
      <c r="J18" s="39" t="n">
        <v>0</v>
      </c>
    </row>
    <row r="19" ht="22" customHeight="1">
      <c r="A19" s="25" t="inlineStr">
        <is>
          <t>Flavia Parra</t>
        </is>
      </c>
      <c r="B19" s="14" t="inlineStr">
        <is>
          <t>January</t>
        </is>
      </c>
      <c r="C19" s="16" t="n">
        <v>28525.05</v>
      </c>
      <c r="D19" s="37" t="n">
        <v>0</v>
      </c>
      <c r="E19" s="16" t="n">
        <v>39558.05</v>
      </c>
      <c r="F19" s="37" t="n">
        <v>0</v>
      </c>
      <c r="G19" s="16" t="n">
        <v>1464.35</v>
      </c>
      <c r="H19" s="37" t="n">
        <v>0</v>
      </c>
      <c r="I19" s="26" t="n">
        <v>0</v>
      </c>
      <c r="J19" s="39" t="n">
        <v>0</v>
      </c>
    </row>
    <row r="20" ht="22" customHeight="1">
      <c r="A20" s="25" t="inlineStr">
        <is>
          <t>Flavia Parra</t>
        </is>
      </c>
      <c r="B20" s="14" t="inlineStr">
        <is>
          <t>February</t>
        </is>
      </c>
      <c r="C20" s="16" t="n">
        <v>22247.7</v>
      </c>
      <c r="D20" s="37" t="n">
        <v>0</v>
      </c>
      <c r="E20" s="16" t="n">
        <v>43687.45</v>
      </c>
      <c r="F20" s="37" t="n">
        <v>0</v>
      </c>
      <c r="G20" s="16" t="n">
        <v>2099</v>
      </c>
      <c r="H20" s="37" t="n">
        <v>0</v>
      </c>
      <c r="I20" s="26" t="n">
        <v>0</v>
      </c>
      <c r="J20" s="39" t="n">
        <v>0</v>
      </c>
    </row>
    <row r="21" ht="22" customHeight="1">
      <c r="A21" s="25" t="inlineStr">
        <is>
          <t>Flavia Parra</t>
        </is>
      </c>
      <c r="B21" s="14" t="inlineStr">
        <is>
          <t>March</t>
        </is>
      </c>
      <c r="C21" s="16" t="n">
        <v>31269</v>
      </c>
      <c r="D21" s="37" t="n">
        <v>0</v>
      </c>
      <c r="E21" s="16" t="n">
        <v>23526.7</v>
      </c>
      <c r="F21" s="37" t="n">
        <v>0</v>
      </c>
      <c r="G21" s="16" t="n">
        <v>0</v>
      </c>
      <c r="H21" s="37" t="n">
        <v>0</v>
      </c>
      <c r="I21" s="26" t="n">
        <v>0</v>
      </c>
      <c r="J21" s="39" t="n">
        <v>0</v>
      </c>
    </row>
    <row r="22" ht="22" customHeight="1">
      <c r="A22" s="25" t="inlineStr">
        <is>
          <t>Flavia Parra</t>
        </is>
      </c>
      <c r="B22" s="14" t="inlineStr">
        <is>
          <t>April</t>
        </is>
      </c>
      <c r="C22" s="16" t="n">
        <v>29581.05</v>
      </c>
      <c r="D22" s="37" t="n">
        <v>0</v>
      </c>
      <c r="E22" s="16" t="n">
        <v>30832.76</v>
      </c>
      <c r="F22" s="37" t="n">
        <v>0</v>
      </c>
      <c r="G22" s="16" t="n">
        <v>885</v>
      </c>
      <c r="H22" s="37" t="n">
        <v>0</v>
      </c>
      <c r="I22" s="26" t="n">
        <v>0</v>
      </c>
      <c r="J22" s="39" t="n">
        <v>0</v>
      </c>
    </row>
    <row r="23" ht="22" customHeight="1">
      <c r="A23" s="25" t="inlineStr">
        <is>
          <t>Thalia Rojas</t>
        </is>
      </c>
      <c r="B23" s="14" t="inlineStr">
        <is>
          <t>January</t>
        </is>
      </c>
      <c r="C23" s="16" t="n">
        <v>15503.9</v>
      </c>
      <c r="D23" s="37" t="n">
        <v>0</v>
      </c>
      <c r="E23" s="16" t="n">
        <v>33083.93</v>
      </c>
      <c r="F23" s="37" t="n">
        <v>0</v>
      </c>
      <c r="G23" s="16" t="n">
        <v>3690</v>
      </c>
      <c r="H23" s="37" t="n">
        <v>0</v>
      </c>
      <c r="I23" s="26" t="n">
        <v>0</v>
      </c>
      <c r="J23" s="39" t="n">
        <v>0</v>
      </c>
    </row>
    <row r="24" ht="22" customHeight="1">
      <c r="A24" s="25" t="inlineStr">
        <is>
          <t>Thalia Rojas</t>
        </is>
      </c>
      <c r="B24" s="14" t="inlineStr">
        <is>
          <t>February</t>
        </is>
      </c>
      <c r="C24" s="16" t="n">
        <v>19414.25</v>
      </c>
      <c r="D24" s="37" t="n">
        <v>0</v>
      </c>
      <c r="E24" s="16" t="n">
        <v>28298.16</v>
      </c>
      <c r="F24" s="37" t="n">
        <v>0</v>
      </c>
      <c r="G24" s="16" t="n">
        <v>7446</v>
      </c>
      <c r="H24" s="37" t="n">
        <v>0</v>
      </c>
      <c r="I24" s="26" t="n">
        <v>0</v>
      </c>
      <c r="J24" s="39" t="n">
        <v>0</v>
      </c>
    </row>
    <row r="25" ht="22" customHeight="1">
      <c r="A25" s="25" t="inlineStr">
        <is>
          <t>Thalia Rojas</t>
        </is>
      </c>
      <c r="B25" s="14" t="inlineStr">
        <is>
          <t>March</t>
        </is>
      </c>
      <c r="C25" s="16" t="n">
        <v>17843.69</v>
      </c>
      <c r="D25" s="37" t="n">
        <v>0</v>
      </c>
      <c r="E25" s="16" t="n">
        <v>19840.85</v>
      </c>
      <c r="F25" s="37" t="n">
        <v>0</v>
      </c>
      <c r="G25" s="16" t="n">
        <v>5643.9</v>
      </c>
      <c r="H25" s="37" t="n">
        <v>0</v>
      </c>
      <c r="I25" s="26" t="n">
        <v>0</v>
      </c>
      <c r="J25" s="39" t="n">
        <v>0</v>
      </c>
    </row>
    <row r="26" ht="22" customHeight="1">
      <c r="A26" s="25" t="inlineStr">
        <is>
          <t>Thalia Rojas</t>
        </is>
      </c>
      <c r="B26" s="14" t="inlineStr">
        <is>
          <t>April</t>
        </is>
      </c>
      <c r="C26" s="16" t="n">
        <v>14099</v>
      </c>
      <c r="D26" s="37" t="n">
        <v>0</v>
      </c>
      <c r="E26" s="16" t="n">
        <v>39794.4</v>
      </c>
      <c r="F26" s="37" t="n">
        <v>0</v>
      </c>
      <c r="G26" s="16" t="n">
        <v>3617</v>
      </c>
      <c r="H26" s="37" t="n">
        <v>0</v>
      </c>
      <c r="I26" s="26" t="n">
        <v>0</v>
      </c>
      <c r="J26" s="39" t="n">
        <v>0</v>
      </c>
    </row>
    <row r="27" ht="22" customHeight="1">
      <c r="A27" s="25" t="inlineStr">
        <is>
          <t>Monica Valdes</t>
        </is>
      </c>
      <c r="B27" s="14" t="inlineStr">
        <is>
          <t>January</t>
        </is>
      </c>
      <c r="C27" s="16" t="n">
        <v>28605.29</v>
      </c>
      <c r="D27" s="37" t="n">
        <v>0</v>
      </c>
      <c r="E27" s="16" t="n">
        <v>48612.96</v>
      </c>
      <c r="F27" s="37" t="n">
        <v>0</v>
      </c>
      <c r="G27" s="16" t="n">
        <v>6502.91</v>
      </c>
      <c r="H27" s="37" t="n">
        <v>0</v>
      </c>
      <c r="I27" s="26" t="n">
        <v>0</v>
      </c>
      <c r="J27" s="39" t="n">
        <v>0</v>
      </c>
    </row>
    <row r="28" ht="22" customHeight="1">
      <c r="A28" s="25" t="inlineStr">
        <is>
          <t>Monica Valdes</t>
        </is>
      </c>
      <c r="B28" s="14" t="inlineStr">
        <is>
          <t>February</t>
        </is>
      </c>
      <c r="C28" s="16" t="n">
        <v>31516.95</v>
      </c>
      <c r="D28" s="37" t="n">
        <v>0</v>
      </c>
      <c r="E28" s="16" t="n">
        <v>47228.18</v>
      </c>
      <c r="F28" s="37" t="n">
        <v>0</v>
      </c>
      <c r="G28" s="16" t="n">
        <v>3092</v>
      </c>
      <c r="H28" s="37" t="n">
        <v>0</v>
      </c>
      <c r="I28" s="26" t="n">
        <v>0</v>
      </c>
      <c r="J28" s="39" t="n">
        <v>0</v>
      </c>
    </row>
    <row r="29" ht="22" customHeight="1">
      <c r="A29" s="25" t="inlineStr">
        <is>
          <t>Monica Valdes</t>
        </is>
      </c>
      <c r="B29" s="14" t="inlineStr">
        <is>
          <t>April</t>
        </is>
      </c>
      <c r="C29" s="16" t="n">
        <v>29755.49</v>
      </c>
      <c r="D29" s="37" t="n">
        <v>0</v>
      </c>
      <c r="E29" s="16" t="n">
        <v>35279.9</v>
      </c>
      <c r="F29" s="37" t="n">
        <v>0</v>
      </c>
      <c r="G29" s="16" t="n">
        <v>2514</v>
      </c>
      <c r="H29" s="37" t="n">
        <v>0</v>
      </c>
      <c r="I29" s="26" t="n">
        <v>0</v>
      </c>
      <c r="J29" s="39" t="n">
        <v>0</v>
      </c>
    </row>
    <row r="30" ht="26" customHeight="1">
      <c r="A30" s="40" t="inlineStr">
        <is>
          <t>4-MONTH TOTAL (all 6 agents)</t>
        </is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2" t="n">
        <v>1675</v>
      </c>
    </row>
    <row r="32" ht="22" customHeight="1">
      <c r="A32" s="5" t="inlineStr">
        <is>
          <t>SCENARIO 2: 50% SWAP (half of RWR -&gt; REN)</t>
        </is>
      </c>
    </row>
    <row r="33" ht="26" customHeight="1">
      <c r="A33" s="6" t="inlineStr">
        <is>
          <t>Agent</t>
        </is>
      </c>
      <c r="B33" s="6" t="inlineStr">
        <is>
          <t>Month</t>
        </is>
      </c>
      <c r="C33" s="6" t="inlineStr">
        <is>
          <t>NB Premium</t>
        </is>
      </c>
      <c r="D33" s="6" t="inlineStr">
        <is>
          <t>NB Bonus</t>
        </is>
      </c>
      <c r="E33" s="6" t="inlineStr">
        <is>
          <t>RWR Premium</t>
        </is>
      </c>
      <c r="F33" s="6" t="inlineStr">
        <is>
          <t>RWR Bonus</t>
        </is>
      </c>
      <c r="G33" s="6" t="inlineStr">
        <is>
          <t>REN Premium</t>
        </is>
      </c>
      <c r="H33" s="6" t="inlineStr">
        <is>
          <t>REN Bonus</t>
        </is>
      </c>
      <c r="I33" s="6" t="inlineStr">
        <is>
          <t>Progress Bar</t>
        </is>
      </c>
      <c r="J33" s="6" t="inlineStr">
        <is>
          <t>TOTAL BONUS</t>
        </is>
      </c>
    </row>
    <row r="34" ht="22" customHeight="1">
      <c r="A34" s="25" t="inlineStr">
        <is>
          <t>Dialinerys Dieguez</t>
        </is>
      </c>
      <c r="B34" s="14" t="inlineStr">
        <is>
          <t>March</t>
        </is>
      </c>
      <c r="C34" s="16" t="n">
        <v>52434.9</v>
      </c>
      <c r="D34" s="36" t="n">
        <v>250</v>
      </c>
      <c r="E34" s="16" t="n">
        <v>48114.175</v>
      </c>
      <c r="F34" s="36" t="n">
        <v>100</v>
      </c>
      <c r="G34" s="16" t="n">
        <v>54076.675</v>
      </c>
      <c r="H34" s="36" t="n">
        <v>850</v>
      </c>
      <c r="I34" s="26" t="n">
        <v>1200</v>
      </c>
      <c r="J34" s="38" t="n">
        <v>1200</v>
      </c>
    </row>
    <row r="35" ht="22" customHeight="1">
      <c r="A35" s="25" t="inlineStr">
        <is>
          <t>Dialinerys Dieguez</t>
        </is>
      </c>
      <c r="B35" s="14" t="inlineStr">
        <is>
          <t>April</t>
        </is>
      </c>
      <c r="C35" s="16" t="n">
        <v>49689.35</v>
      </c>
      <c r="D35" s="36" t="n">
        <v>250</v>
      </c>
      <c r="E35" s="16" t="n">
        <v>32082.715</v>
      </c>
      <c r="F35" s="37" t="n">
        <v>0</v>
      </c>
      <c r="G35" s="16" t="n">
        <v>51657.715</v>
      </c>
      <c r="H35" s="36" t="n">
        <v>850</v>
      </c>
      <c r="I35" s="26" t="n">
        <v>1100</v>
      </c>
      <c r="J35" s="38" t="n">
        <v>1100</v>
      </c>
    </row>
    <row r="36" ht="22" customHeight="1">
      <c r="A36" s="25" t="inlineStr">
        <is>
          <t>Dialinerys Dieguez</t>
        </is>
      </c>
      <c r="B36" s="14" t="inlineStr">
        <is>
          <t>January</t>
        </is>
      </c>
      <c r="C36" s="16" t="n">
        <v>40249.26</v>
      </c>
      <c r="D36" s="37" t="n">
        <v>0</v>
      </c>
      <c r="E36" s="16" t="n">
        <v>32837.69</v>
      </c>
      <c r="F36" s="37" t="n">
        <v>0</v>
      </c>
      <c r="G36" s="16" t="n">
        <v>45368.16</v>
      </c>
      <c r="H36" s="36" t="n">
        <v>850</v>
      </c>
      <c r="I36" s="26" t="n">
        <v>850</v>
      </c>
      <c r="J36" s="38" t="n">
        <v>850</v>
      </c>
    </row>
    <row r="37" ht="22" customHeight="1">
      <c r="A37" s="25" t="inlineStr">
        <is>
          <t>Dialinerys Dieguez</t>
        </is>
      </c>
      <c r="B37" s="14" t="inlineStr">
        <is>
          <t>February</t>
        </is>
      </c>
      <c r="C37" s="16" t="n">
        <v>30057.89</v>
      </c>
      <c r="D37" s="37" t="n">
        <v>0</v>
      </c>
      <c r="E37" s="16" t="n">
        <v>42772.3</v>
      </c>
      <c r="F37" s="37" t="n">
        <v>0</v>
      </c>
      <c r="G37" s="16" t="n">
        <v>54401.98</v>
      </c>
      <c r="H37" s="36" t="n">
        <v>850</v>
      </c>
      <c r="I37" s="26" t="n">
        <v>850</v>
      </c>
      <c r="J37" s="38" t="n">
        <v>850</v>
      </c>
    </row>
    <row r="38" ht="22" customHeight="1">
      <c r="A38" s="25" t="inlineStr">
        <is>
          <t>Melissa Hernandez</t>
        </is>
      </c>
      <c r="B38" s="14" t="inlineStr">
        <is>
          <t>January</t>
        </is>
      </c>
      <c r="C38" s="16" t="n">
        <v>37039</v>
      </c>
      <c r="D38" s="37" t="n">
        <v>0</v>
      </c>
      <c r="E38" s="16" t="n">
        <v>31687.25</v>
      </c>
      <c r="F38" s="37" t="n">
        <v>0</v>
      </c>
      <c r="G38" s="16" t="n">
        <v>31687.25</v>
      </c>
      <c r="H38" s="36" t="n">
        <v>750</v>
      </c>
      <c r="I38" s="26" t="n">
        <v>750</v>
      </c>
      <c r="J38" s="38" t="n">
        <v>750</v>
      </c>
    </row>
    <row r="39" ht="22" customHeight="1">
      <c r="A39" s="25" t="inlineStr">
        <is>
          <t>Melissa Hernandez</t>
        </is>
      </c>
      <c r="B39" s="14" t="inlineStr">
        <is>
          <t>February</t>
        </is>
      </c>
      <c r="C39" s="16" t="n">
        <v>7659.5</v>
      </c>
      <c r="D39" s="37" t="n">
        <v>0</v>
      </c>
      <c r="E39" s="16" t="n">
        <v>24995.35</v>
      </c>
      <c r="F39" s="37" t="n">
        <v>0</v>
      </c>
      <c r="G39" s="16" t="n">
        <v>26058.35</v>
      </c>
      <c r="H39" s="36" t="n">
        <v>750</v>
      </c>
      <c r="I39" s="26" t="n">
        <v>750</v>
      </c>
      <c r="J39" s="38" t="n">
        <v>750</v>
      </c>
    </row>
    <row r="40" ht="22" customHeight="1">
      <c r="A40" s="25" t="inlineStr">
        <is>
          <t>Melissa Hernandez</t>
        </is>
      </c>
      <c r="B40" s="14" t="inlineStr">
        <is>
          <t>March</t>
        </is>
      </c>
      <c r="C40" s="16" t="n">
        <v>39759.7</v>
      </c>
      <c r="D40" s="37" t="n">
        <v>0</v>
      </c>
      <c r="E40" s="16" t="n">
        <v>28430.3</v>
      </c>
      <c r="F40" s="37" t="n">
        <v>0</v>
      </c>
      <c r="G40" s="16" t="n">
        <v>29464.3</v>
      </c>
      <c r="H40" s="36" t="n">
        <v>750</v>
      </c>
      <c r="I40" s="26" t="n">
        <v>750</v>
      </c>
      <c r="J40" s="38" t="n">
        <v>750</v>
      </c>
    </row>
    <row r="41" ht="22" customHeight="1">
      <c r="A41" s="25" t="inlineStr">
        <is>
          <t>Monica Valdes</t>
        </is>
      </c>
      <c r="B41" s="14" t="inlineStr">
        <is>
          <t>January</t>
        </is>
      </c>
      <c r="C41" s="16" t="n">
        <v>28605.29</v>
      </c>
      <c r="D41" s="37" t="n">
        <v>0</v>
      </c>
      <c r="E41" s="16" t="n">
        <v>24306.48</v>
      </c>
      <c r="F41" s="37" t="n">
        <v>0</v>
      </c>
      <c r="G41" s="16" t="n">
        <v>30809.39</v>
      </c>
      <c r="H41" s="36" t="n">
        <v>750</v>
      </c>
      <c r="I41" s="26" t="n">
        <v>750</v>
      </c>
      <c r="J41" s="38" t="n">
        <v>750</v>
      </c>
    </row>
    <row r="42" ht="22" customHeight="1">
      <c r="A42" s="25" t="inlineStr">
        <is>
          <t>Monica Valdes</t>
        </is>
      </c>
      <c r="B42" s="14" t="inlineStr">
        <is>
          <t>February</t>
        </is>
      </c>
      <c r="C42" s="16" t="n">
        <v>31516.95</v>
      </c>
      <c r="D42" s="37" t="n">
        <v>0</v>
      </c>
      <c r="E42" s="16" t="n">
        <v>23614.09</v>
      </c>
      <c r="F42" s="37" t="n">
        <v>0</v>
      </c>
      <c r="G42" s="16" t="n">
        <v>26706.09</v>
      </c>
      <c r="H42" s="36" t="n">
        <v>750</v>
      </c>
      <c r="I42" s="26" t="n">
        <v>750</v>
      </c>
      <c r="J42" s="38" t="n">
        <v>750</v>
      </c>
    </row>
    <row r="43" ht="22" customHeight="1">
      <c r="A43" s="25" t="inlineStr">
        <is>
          <t>Monica Valdes</t>
        </is>
      </c>
      <c r="B43" s="14" t="inlineStr">
        <is>
          <t>March</t>
        </is>
      </c>
      <c r="C43" s="16" t="n">
        <v>68546.22</v>
      </c>
      <c r="D43" s="36" t="n">
        <v>375</v>
      </c>
      <c r="E43" s="16" t="n">
        <v>19627.325</v>
      </c>
      <c r="F43" s="37" t="n">
        <v>0</v>
      </c>
      <c r="G43" s="16" t="n">
        <v>19627.325</v>
      </c>
      <c r="H43" s="37" t="n">
        <v>0</v>
      </c>
      <c r="I43" s="26" t="n">
        <v>375</v>
      </c>
      <c r="J43" s="38" t="n">
        <v>375</v>
      </c>
    </row>
    <row r="44" ht="22" customHeight="1">
      <c r="A44" s="25" t="inlineStr">
        <is>
          <t>Abel Guaina</t>
        </is>
      </c>
      <c r="B44" s="14" t="inlineStr">
        <is>
          <t>March</t>
        </is>
      </c>
      <c r="C44" s="16" t="n">
        <v>46523.37</v>
      </c>
      <c r="D44" s="36" t="n">
        <v>250</v>
      </c>
      <c r="E44" s="16" t="n">
        <v>12613.8</v>
      </c>
      <c r="F44" s="37" t="n">
        <v>0</v>
      </c>
      <c r="G44" s="16" t="n">
        <v>16514.8</v>
      </c>
      <c r="H44" s="37" t="n">
        <v>0</v>
      </c>
      <c r="I44" s="26" t="n">
        <v>250</v>
      </c>
      <c r="J44" s="38" t="n">
        <v>250</v>
      </c>
    </row>
    <row r="45" ht="22" customHeight="1">
      <c r="A45" s="25" t="inlineStr">
        <is>
          <t>Abel Guaina</t>
        </is>
      </c>
      <c r="B45" s="14" t="inlineStr">
        <is>
          <t>January</t>
        </is>
      </c>
      <c r="C45" s="16" t="n">
        <v>38611.42</v>
      </c>
      <c r="D45" s="37" t="n">
        <v>0</v>
      </c>
      <c r="E45" s="16" t="n">
        <v>13759.25</v>
      </c>
      <c r="F45" s="37" t="n">
        <v>0</v>
      </c>
      <c r="G45" s="16" t="n">
        <v>21364.25</v>
      </c>
      <c r="H45" s="37" t="n">
        <v>0</v>
      </c>
      <c r="I45" s="26" t="n">
        <v>0</v>
      </c>
      <c r="J45" s="39" t="n">
        <v>0</v>
      </c>
    </row>
    <row r="46" ht="22" customHeight="1">
      <c r="A46" s="25" t="inlineStr">
        <is>
          <t>Abel Guaina</t>
        </is>
      </c>
      <c r="B46" s="14" t="inlineStr">
        <is>
          <t>February</t>
        </is>
      </c>
      <c r="C46" s="16" t="n">
        <v>25367</v>
      </c>
      <c r="D46" s="37" t="n">
        <v>0</v>
      </c>
      <c r="E46" s="16" t="n">
        <v>15321.5</v>
      </c>
      <c r="F46" s="37" t="n">
        <v>0</v>
      </c>
      <c r="G46" s="16" t="n">
        <v>22838.5</v>
      </c>
      <c r="H46" s="37" t="n">
        <v>0</v>
      </c>
      <c r="I46" s="26" t="n">
        <v>0</v>
      </c>
      <c r="J46" s="39" t="n">
        <v>0</v>
      </c>
    </row>
    <row r="47" ht="22" customHeight="1">
      <c r="A47" s="25" t="inlineStr">
        <is>
          <t>Abel Guaina</t>
        </is>
      </c>
      <c r="B47" s="14" t="inlineStr">
        <is>
          <t>April</t>
        </is>
      </c>
      <c r="C47" s="16" t="n">
        <v>37825.93</v>
      </c>
      <c r="D47" s="37" t="n">
        <v>0</v>
      </c>
      <c r="E47" s="16" t="n">
        <v>7680.975</v>
      </c>
      <c r="F47" s="37" t="n">
        <v>0</v>
      </c>
      <c r="G47" s="16" t="n">
        <v>18616.965</v>
      </c>
      <c r="H47" s="37" t="n">
        <v>0</v>
      </c>
      <c r="I47" s="26" t="n">
        <v>0</v>
      </c>
      <c r="J47" s="39" t="n">
        <v>0</v>
      </c>
    </row>
    <row r="48" ht="22" customHeight="1">
      <c r="A48" s="25" t="inlineStr">
        <is>
          <t>Melissa Hernandez</t>
        </is>
      </c>
      <c r="B48" s="14" t="inlineStr">
        <is>
          <t>April</t>
        </is>
      </c>
      <c r="C48" s="16" t="n">
        <v>19288.35</v>
      </c>
      <c r="D48" s="37" t="n">
        <v>0</v>
      </c>
      <c r="E48" s="16" t="n">
        <v>21698.1</v>
      </c>
      <c r="F48" s="37" t="n">
        <v>0</v>
      </c>
      <c r="G48" s="16" t="n">
        <v>21698.1</v>
      </c>
      <c r="H48" s="37" t="n">
        <v>0</v>
      </c>
      <c r="I48" s="26" t="n">
        <v>0</v>
      </c>
      <c r="J48" s="39" t="n">
        <v>0</v>
      </c>
    </row>
    <row r="49" ht="22" customHeight="1">
      <c r="A49" s="25" t="inlineStr">
        <is>
          <t>Flavia Parra</t>
        </is>
      </c>
      <c r="B49" s="14" t="inlineStr">
        <is>
          <t>January</t>
        </is>
      </c>
      <c r="C49" s="16" t="n">
        <v>28525.05</v>
      </c>
      <c r="D49" s="37" t="n">
        <v>0</v>
      </c>
      <c r="E49" s="16" t="n">
        <v>19779.025</v>
      </c>
      <c r="F49" s="37" t="n">
        <v>0</v>
      </c>
      <c r="G49" s="16" t="n">
        <v>21243.375</v>
      </c>
      <c r="H49" s="37" t="n">
        <v>0</v>
      </c>
      <c r="I49" s="26" t="n">
        <v>0</v>
      </c>
      <c r="J49" s="39" t="n">
        <v>0</v>
      </c>
    </row>
    <row r="50" ht="22" customHeight="1">
      <c r="A50" s="25" t="inlineStr">
        <is>
          <t>Flavia Parra</t>
        </is>
      </c>
      <c r="B50" s="14" t="inlineStr">
        <is>
          <t>February</t>
        </is>
      </c>
      <c r="C50" s="16" t="n">
        <v>22247.7</v>
      </c>
      <c r="D50" s="37" t="n">
        <v>0</v>
      </c>
      <c r="E50" s="16" t="n">
        <v>21843.725</v>
      </c>
      <c r="F50" s="37" t="n">
        <v>0</v>
      </c>
      <c r="G50" s="16" t="n">
        <v>23942.725</v>
      </c>
      <c r="H50" s="37" t="n">
        <v>0</v>
      </c>
      <c r="I50" s="26" t="n">
        <v>0</v>
      </c>
      <c r="J50" s="39" t="n">
        <v>0</v>
      </c>
    </row>
    <row r="51" ht="22" customHeight="1">
      <c r="A51" s="25" t="inlineStr">
        <is>
          <t>Flavia Parra</t>
        </is>
      </c>
      <c r="B51" s="14" t="inlineStr">
        <is>
          <t>March</t>
        </is>
      </c>
      <c r="C51" s="16" t="n">
        <v>31269</v>
      </c>
      <c r="D51" s="37" t="n">
        <v>0</v>
      </c>
      <c r="E51" s="16" t="n">
        <v>11763.35</v>
      </c>
      <c r="F51" s="37" t="n">
        <v>0</v>
      </c>
      <c r="G51" s="16" t="n">
        <v>11763.35</v>
      </c>
      <c r="H51" s="37" t="n">
        <v>0</v>
      </c>
      <c r="I51" s="26" t="n">
        <v>0</v>
      </c>
      <c r="J51" s="39" t="n">
        <v>0</v>
      </c>
    </row>
    <row r="52" ht="22" customHeight="1">
      <c r="A52" s="25" t="inlineStr">
        <is>
          <t>Flavia Parra</t>
        </is>
      </c>
      <c r="B52" s="14" t="inlineStr">
        <is>
          <t>April</t>
        </is>
      </c>
      <c r="C52" s="16" t="n">
        <v>29581.05</v>
      </c>
      <c r="D52" s="37" t="n">
        <v>0</v>
      </c>
      <c r="E52" s="16" t="n">
        <v>15416.38</v>
      </c>
      <c r="F52" s="37" t="n">
        <v>0</v>
      </c>
      <c r="G52" s="16" t="n">
        <v>16301.38</v>
      </c>
      <c r="H52" s="37" t="n">
        <v>0</v>
      </c>
      <c r="I52" s="26" t="n">
        <v>0</v>
      </c>
      <c r="J52" s="39" t="n">
        <v>0</v>
      </c>
    </row>
    <row r="53" ht="22" customHeight="1">
      <c r="A53" s="25" t="inlineStr">
        <is>
          <t>Thalia Rojas</t>
        </is>
      </c>
      <c r="B53" s="14" t="inlineStr">
        <is>
          <t>January</t>
        </is>
      </c>
      <c r="C53" s="16" t="n">
        <v>15503.9</v>
      </c>
      <c r="D53" s="37" t="n">
        <v>0</v>
      </c>
      <c r="E53" s="16" t="n">
        <v>16541.965</v>
      </c>
      <c r="F53" s="37" t="n">
        <v>0</v>
      </c>
      <c r="G53" s="16" t="n">
        <v>20231.965</v>
      </c>
      <c r="H53" s="37" t="n">
        <v>0</v>
      </c>
      <c r="I53" s="26" t="n">
        <v>0</v>
      </c>
      <c r="J53" s="39" t="n">
        <v>0</v>
      </c>
    </row>
    <row r="54" ht="22" customHeight="1">
      <c r="A54" s="25" t="inlineStr">
        <is>
          <t>Thalia Rojas</t>
        </is>
      </c>
      <c r="B54" s="14" t="inlineStr">
        <is>
          <t>February</t>
        </is>
      </c>
      <c r="C54" s="16" t="n">
        <v>19414.25</v>
      </c>
      <c r="D54" s="37" t="n">
        <v>0</v>
      </c>
      <c r="E54" s="16" t="n">
        <v>14149.08</v>
      </c>
      <c r="F54" s="37" t="n">
        <v>0</v>
      </c>
      <c r="G54" s="16" t="n">
        <v>21595.08</v>
      </c>
      <c r="H54" s="37" t="n">
        <v>0</v>
      </c>
      <c r="I54" s="26" t="n">
        <v>0</v>
      </c>
      <c r="J54" s="39" t="n">
        <v>0</v>
      </c>
    </row>
    <row r="55" ht="22" customHeight="1">
      <c r="A55" s="25" t="inlineStr">
        <is>
          <t>Thalia Rojas</t>
        </is>
      </c>
      <c r="B55" s="14" t="inlineStr">
        <is>
          <t>March</t>
        </is>
      </c>
      <c r="C55" s="16" t="n">
        <v>17843.69</v>
      </c>
      <c r="D55" s="37" t="n">
        <v>0</v>
      </c>
      <c r="E55" s="16" t="n">
        <v>9920.424999999999</v>
      </c>
      <c r="F55" s="37" t="n">
        <v>0</v>
      </c>
      <c r="G55" s="16" t="n">
        <v>15564.325</v>
      </c>
      <c r="H55" s="37" t="n">
        <v>0</v>
      </c>
      <c r="I55" s="26" t="n">
        <v>0</v>
      </c>
      <c r="J55" s="39" t="n">
        <v>0</v>
      </c>
    </row>
    <row r="56" ht="22" customHeight="1">
      <c r="A56" s="25" t="inlineStr">
        <is>
          <t>Thalia Rojas</t>
        </is>
      </c>
      <c r="B56" s="14" t="inlineStr">
        <is>
          <t>April</t>
        </is>
      </c>
      <c r="C56" s="16" t="n">
        <v>14099</v>
      </c>
      <c r="D56" s="37" t="n">
        <v>0</v>
      </c>
      <c r="E56" s="16" t="n">
        <v>19897.2</v>
      </c>
      <c r="F56" s="37" t="n">
        <v>0</v>
      </c>
      <c r="G56" s="16" t="n">
        <v>23514.2</v>
      </c>
      <c r="H56" s="37" t="n">
        <v>0</v>
      </c>
      <c r="I56" s="26" t="n">
        <v>0</v>
      </c>
      <c r="J56" s="39" t="n">
        <v>0</v>
      </c>
    </row>
    <row r="57" ht="22" customHeight="1">
      <c r="A57" s="25" t="inlineStr">
        <is>
          <t>Monica Valdes</t>
        </is>
      </c>
      <c r="B57" s="14" t="inlineStr">
        <is>
          <t>April</t>
        </is>
      </c>
      <c r="C57" s="16" t="n">
        <v>29755.49</v>
      </c>
      <c r="D57" s="37" t="n">
        <v>0</v>
      </c>
      <c r="E57" s="16" t="n">
        <v>17639.95</v>
      </c>
      <c r="F57" s="37" t="n">
        <v>0</v>
      </c>
      <c r="G57" s="16" t="n">
        <v>20153.95</v>
      </c>
      <c r="H57" s="37" t="n">
        <v>0</v>
      </c>
      <c r="I57" s="26" t="n">
        <v>0</v>
      </c>
      <c r="J57" s="39" t="n">
        <v>0</v>
      </c>
    </row>
    <row r="58" ht="26" customHeight="1">
      <c r="A58" s="40" t="inlineStr">
        <is>
          <t>4-MONTH TOTAL (all 6 agents)</t>
        </is>
      </c>
      <c r="B58" s="41" t="n"/>
      <c r="C58" s="41" t="n"/>
      <c r="D58" s="41" t="n"/>
      <c r="E58" s="41" t="n"/>
      <c r="F58" s="41" t="n"/>
      <c r="G58" s="41" t="n"/>
      <c r="H58" s="41" t="n"/>
      <c r="I58" s="41" t="n"/>
      <c r="J58" s="42" t="n">
        <v>8375</v>
      </c>
    </row>
    <row r="60" ht="22" customHeight="1">
      <c r="A60" s="5" t="inlineStr">
        <is>
          <t>SCENARIO 3: 100% FLIP (RWR fully -&gt; REN)</t>
        </is>
      </c>
    </row>
    <row r="61" ht="26" customHeight="1">
      <c r="A61" s="6" t="inlineStr">
        <is>
          <t>Agent</t>
        </is>
      </c>
      <c r="B61" s="6" t="inlineStr">
        <is>
          <t>Month</t>
        </is>
      </c>
      <c r="C61" s="6" t="inlineStr">
        <is>
          <t>NB Premium</t>
        </is>
      </c>
      <c r="D61" s="6" t="inlineStr">
        <is>
          <t>NB Bonus</t>
        </is>
      </c>
      <c r="E61" s="6" t="inlineStr">
        <is>
          <t>RWR Premium</t>
        </is>
      </c>
      <c r="F61" s="6" t="inlineStr">
        <is>
          <t>RWR Bonus</t>
        </is>
      </c>
      <c r="G61" s="6" t="inlineStr">
        <is>
          <t>REN Premium</t>
        </is>
      </c>
      <c r="H61" s="6" t="inlineStr">
        <is>
          <t>REN Bonus</t>
        </is>
      </c>
      <c r="I61" s="6" t="inlineStr">
        <is>
          <t>Progress Bar</t>
        </is>
      </c>
      <c r="J61" s="6" t="inlineStr">
        <is>
          <t>TOTAL BONUS</t>
        </is>
      </c>
    </row>
    <row r="62" ht="22" customHeight="1">
      <c r="A62" s="25" t="inlineStr">
        <is>
          <t>Dialinerys Dieguez</t>
        </is>
      </c>
      <c r="B62" s="14" t="inlineStr">
        <is>
          <t>March</t>
        </is>
      </c>
      <c r="C62" s="16" t="n">
        <v>52434.9</v>
      </c>
      <c r="D62" s="36" t="n">
        <v>250</v>
      </c>
      <c r="E62" s="16" t="n">
        <v>5962.5</v>
      </c>
      <c r="F62" s="37" t="n">
        <v>0</v>
      </c>
      <c r="G62" s="16" t="n">
        <v>96228.35000000001</v>
      </c>
      <c r="H62" s="36" t="n">
        <v>1050</v>
      </c>
      <c r="I62" s="26" t="n">
        <v>1300</v>
      </c>
      <c r="J62" s="38" t="n">
        <v>1300</v>
      </c>
    </row>
    <row r="63" ht="22" customHeight="1">
      <c r="A63" s="25" t="inlineStr">
        <is>
          <t>Monica Valdes</t>
        </is>
      </c>
      <c r="B63" s="14" t="inlineStr">
        <is>
          <t>March</t>
        </is>
      </c>
      <c r="C63" s="16" t="n">
        <v>68546.22</v>
      </c>
      <c r="D63" s="36" t="n">
        <v>375</v>
      </c>
      <c r="E63" s="16" t="n">
        <v>0</v>
      </c>
      <c r="F63" s="37" t="n">
        <v>0</v>
      </c>
      <c r="G63" s="16" t="n">
        <v>39254.65</v>
      </c>
      <c r="H63" s="36" t="n">
        <v>750</v>
      </c>
      <c r="I63" s="26" t="n">
        <v>1125</v>
      </c>
      <c r="J63" s="38" t="n">
        <v>1125</v>
      </c>
    </row>
    <row r="64" ht="22" customHeight="1">
      <c r="A64" s="25" t="inlineStr">
        <is>
          <t>Dialinerys Dieguez</t>
        </is>
      </c>
      <c r="B64" s="14" t="inlineStr">
        <is>
          <t>April</t>
        </is>
      </c>
      <c r="C64" s="16" t="n">
        <v>49689.35</v>
      </c>
      <c r="D64" s="36" t="n">
        <v>250</v>
      </c>
      <c r="E64" s="16" t="n">
        <v>19575</v>
      </c>
      <c r="F64" s="37" t="n">
        <v>0</v>
      </c>
      <c r="G64" s="16" t="n">
        <v>64165.43</v>
      </c>
      <c r="H64" s="36" t="n">
        <v>850</v>
      </c>
      <c r="I64" s="26" t="n">
        <v>1100</v>
      </c>
      <c r="J64" s="38" t="n">
        <v>1100</v>
      </c>
    </row>
    <row r="65" ht="22" customHeight="1">
      <c r="A65" s="25" t="inlineStr">
        <is>
          <t>Dialinerys Dieguez</t>
        </is>
      </c>
      <c r="B65" s="14" t="inlineStr">
        <is>
          <t>February</t>
        </is>
      </c>
      <c r="C65" s="16" t="n">
        <v>30057.89</v>
      </c>
      <c r="D65" s="37" t="n">
        <v>0</v>
      </c>
      <c r="E65" s="16" t="n">
        <v>11629.68</v>
      </c>
      <c r="F65" s="37" t="n">
        <v>0</v>
      </c>
      <c r="G65" s="16" t="n">
        <v>85544.60000000001</v>
      </c>
      <c r="H65" s="36" t="n">
        <v>1050</v>
      </c>
      <c r="I65" s="26" t="n">
        <v>1050</v>
      </c>
      <c r="J65" s="38" t="n">
        <v>1050</v>
      </c>
    </row>
    <row r="66" ht="22" customHeight="1">
      <c r="A66" s="25" t="inlineStr">
        <is>
          <t>Abel Guaina</t>
        </is>
      </c>
      <c r="B66" s="14" t="inlineStr">
        <is>
          <t>March</t>
        </is>
      </c>
      <c r="C66" s="16" t="n">
        <v>46523.37</v>
      </c>
      <c r="D66" s="36" t="n">
        <v>250</v>
      </c>
      <c r="E66" s="16" t="n">
        <v>3901</v>
      </c>
      <c r="F66" s="37" t="n">
        <v>0</v>
      </c>
      <c r="G66" s="16" t="n">
        <v>25227.6</v>
      </c>
      <c r="H66" s="36" t="n">
        <v>750</v>
      </c>
      <c r="I66" s="26" t="n">
        <v>1000</v>
      </c>
      <c r="J66" s="38" t="n">
        <v>1000</v>
      </c>
    </row>
    <row r="67" ht="22" customHeight="1">
      <c r="A67" s="25" t="inlineStr">
        <is>
          <t>Dialinerys Dieguez</t>
        </is>
      </c>
      <c r="B67" s="14" t="inlineStr">
        <is>
          <t>January</t>
        </is>
      </c>
      <c r="C67" s="16" t="n">
        <v>40249.26</v>
      </c>
      <c r="D67" s="37" t="n">
        <v>0</v>
      </c>
      <c r="E67" s="16" t="n">
        <v>12530.47</v>
      </c>
      <c r="F67" s="37" t="n">
        <v>0</v>
      </c>
      <c r="G67" s="16" t="n">
        <v>65675.38</v>
      </c>
      <c r="H67" s="36" t="n">
        <v>950</v>
      </c>
      <c r="I67" s="26" t="n">
        <v>950</v>
      </c>
      <c r="J67" s="38" t="n">
        <v>950</v>
      </c>
    </row>
    <row r="68" ht="22" customHeight="1">
      <c r="A68" s="25" t="inlineStr">
        <is>
          <t>Melissa Hernandez</t>
        </is>
      </c>
      <c r="B68" s="14" t="inlineStr">
        <is>
          <t>January</t>
        </is>
      </c>
      <c r="C68" s="16" t="n">
        <v>37039</v>
      </c>
      <c r="D68" s="37" t="n">
        <v>0</v>
      </c>
      <c r="E68" s="16" t="n">
        <v>0</v>
      </c>
      <c r="F68" s="37" t="n">
        <v>0</v>
      </c>
      <c r="G68" s="16" t="n">
        <v>63374.5</v>
      </c>
      <c r="H68" s="36" t="n">
        <v>850</v>
      </c>
      <c r="I68" s="26" t="n">
        <v>850</v>
      </c>
      <c r="J68" s="38" t="n">
        <v>850</v>
      </c>
    </row>
    <row r="69" ht="22" customHeight="1">
      <c r="A69" s="25" t="inlineStr">
        <is>
          <t>Melissa Hernandez</t>
        </is>
      </c>
      <c r="B69" s="14" t="inlineStr">
        <is>
          <t>February</t>
        </is>
      </c>
      <c r="C69" s="16" t="n">
        <v>7659.5</v>
      </c>
      <c r="D69" s="37" t="n">
        <v>0</v>
      </c>
      <c r="E69" s="16" t="n">
        <v>1063</v>
      </c>
      <c r="F69" s="37" t="n">
        <v>0</v>
      </c>
      <c r="G69" s="16" t="n">
        <v>49990.7</v>
      </c>
      <c r="H69" s="36" t="n">
        <v>850</v>
      </c>
      <c r="I69" s="26" t="n">
        <v>850</v>
      </c>
      <c r="J69" s="38" t="n">
        <v>850</v>
      </c>
    </row>
    <row r="70" ht="22" customHeight="1">
      <c r="A70" s="25" t="inlineStr">
        <is>
          <t>Melissa Hernandez</t>
        </is>
      </c>
      <c r="B70" s="14" t="inlineStr">
        <is>
          <t>March</t>
        </is>
      </c>
      <c r="C70" s="16" t="n">
        <v>39759.7</v>
      </c>
      <c r="D70" s="37" t="n">
        <v>0</v>
      </c>
      <c r="E70" s="16" t="n">
        <v>1034</v>
      </c>
      <c r="F70" s="37" t="n">
        <v>0</v>
      </c>
      <c r="G70" s="16" t="n">
        <v>56860.6</v>
      </c>
      <c r="H70" s="36" t="n">
        <v>850</v>
      </c>
      <c r="I70" s="26" t="n">
        <v>850</v>
      </c>
      <c r="J70" s="38" t="n">
        <v>850</v>
      </c>
    </row>
    <row r="71" ht="22" customHeight="1">
      <c r="A71" s="25" t="inlineStr">
        <is>
          <t>Melissa Hernandez</t>
        </is>
      </c>
      <c r="B71" s="14" t="inlineStr">
        <is>
          <t>April</t>
        </is>
      </c>
      <c r="C71" s="16" t="n">
        <v>19288.35</v>
      </c>
      <c r="D71" s="37" t="n">
        <v>0</v>
      </c>
      <c r="E71" s="16" t="n">
        <v>0</v>
      </c>
      <c r="F71" s="37" t="n">
        <v>0</v>
      </c>
      <c r="G71" s="16" t="n">
        <v>43396.2</v>
      </c>
      <c r="H71" s="36" t="n">
        <v>850</v>
      </c>
      <c r="I71" s="26" t="n">
        <v>850</v>
      </c>
      <c r="J71" s="38" t="n">
        <v>850</v>
      </c>
    </row>
    <row r="72" ht="22" customHeight="1">
      <c r="A72" s="25" t="inlineStr">
        <is>
          <t>Flavia Parra</t>
        </is>
      </c>
      <c r="B72" s="14" t="inlineStr">
        <is>
          <t>February</t>
        </is>
      </c>
      <c r="C72" s="16" t="n">
        <v>22247.7</v>
      </c>
      <c r="D72" s="37" t="n">
        <v>0</v>
      </c>
      <c r="E72" s="16" t="n">
        <v>2099</v>
      </c>
      <c r="F72" s="37" t="n">
        <v>0</v>
      </c>
      <c r="G72" s="16" t="n">
        <v>43687.45</v>
      </c>
      <c r="H72" s="36" t="n">
        <v>850</v>
      </c>
      <c r="I72" s="26" t="n">
        <v>850</v>
      </c>
      <c r="J72" s="38" t="n">
        <v>850</v>
      </c>
    </row>
    <row r="73" ht="22" customHeight="1">
      <c r="A73" s="25" t="inlineStr">
        <is>
          <t>Monica Valdes</t>
        </is>
      </c>
      <c r="B73" s="14" t="inlineStr">
        <is>
          <t>January</t>
        </is>
      </c>
      <c r="C73" s="16" t="n">
        <v>28605.29</v>
      </c>
      <c r="D73" s="37" t="n">
        <v>0</v>
      </c>
      <c r="E73" s="16" t="n">
        <v>6502.91</v>
      </c>
      <c r="F73" s="37" t="n">
        <v>0</v>
      </c>
      <c r="G73" s="16" t="n">
        <v>48612.96</v>
      </c>
      <c r="H73" s="36" t="n">
        <v>850</v>
      </c>
      <c r="I73" s="26" t="n">
        <v>850</v>
      </c>
      <c r="J73" s="38" t="n">
        <v>850</v>
      </c>
    </row>
    <row r="74" ht="22" customHeight="1">
      <c r="A74" s="25" t="inlineStr">
        <is>
          <t>Monica Valdes</t>
        </is>
      </c>
      <c r="B74" s="14" t="inlineStr">
        <is>
          <t>February</t>
        </is>
      </c>
      <c r="C74" s="16" t="n">
        <v>31516.95</v>
      </c>
      <c r="D74" s="37" t="n">
        <v>0</v>
      </c>
      <c r="E74" s="16" t="n">
        <v>3092</v>
      </c>
      <c r="F74" s="37" t="n">
        <v>0</v>
      </c>
      <c r="G74" s="16" t="n">
        <v>47228.18</v>
      </c>
      <c r="H74" s="36" t="n">
        <v>850</v>
      </c>
      <c r="I74" s="26" t="n">
        <v>850</v>
      </c>
      <c r="J74" s="38" t="n">
        <v>850</v>
      </c>
    </row>
    <row r="75" ht="22" customHeight="1">
      <c r="A75" s="25" t="inlineStr">
        <is>
          <t>Abel Guaina</t>
        </is>
      </c>
      <c r="B75" s="14" t="inlineStr">
        <is>
          <t>January</t>
        </is>
      </c>
      <c r="C75" s="16" t="n">
        <v>38611.42</v>
      </c>
      <c r="D75" s="37" t="n">
        <v>0</v>
      </c>
      <c r="E75" s="16" t="n">
        <v>7605</v>
      </c>
      <c r="F75" s="37" t="n">
        <v>0</v>
      </c>
      <c r="G75" s="16" t="n">
        <v>27518.5</v>
      </c>
      <c r="H75" s="36" t="n">
        <v>750</v>
      </c>
      <c r="I75" s="26" t="n">
        <v>750</v>
      </c>
      <c r="J75" s="38" t="n">
        <v>750</v>
      </c>
    </row>
    <row r="76" ht="22" customHeight="1">
      <c r="A76" s="25" t="inlineStr">
        <is>
          <t>Abel Guaina</t>
        </is>
      </c>
      <c r="B76" s="14" t="inlineStr">
        <is>
          <t>February</t>
        </is>
      </c>
      <c r="C76" s="16" t="n">
        <v>25367</v>
      </c>
      <c r="D76" s="37" t="n">
        <v>0</v>
      </c>
      <c r="E76" s="16" t="n">
        <v>7517</v>
      </c>
      <c r="F76" s="37" t="n">
        <v>0</v>
      </c>
      <c r="G76" s="16" t="n">
        <v>30643</v>
      </c>
      <c r="H76" s="36" t="n">
        <v>750</v>
      </c>
      <c r="I76" s="26" t="n">
        <v>750</v>
      </c>
      <c r="J76" s="38" t="n">
        <v>750</v>
      </c>
    </row>
    <row r="77" ht="22" customHeight="1">
      <c r="A77" s="25" t="inlineStr">
        <is>
          <t>Flavia Parra</t>
        </is>
      </c>
      <c r="B77" s="14" t="inlineStr">
        <is>
          <t>January</t>
        </is>
      </c>
      <c r="C77" s="16" t="n">
        <v>28525.05</v>
      </c>
      <c r="D77" s="37" t="n">
        <v>0</v>
      </c>
      <c r="E77" s="16" t="n">
        <v>1464.35</v>
      </c>
      <c r="F77" s="37" t="n">
        <v>0</v>
      </c>
      <c r="G77" s="16" t="n">
        <v>39558.05</v>
      </c>
      <c r="H77" s="36" t="n">
        <v>750</v>
      </c>
      <c r="I77" s="26" t="n">
        <v>750</v>
      </c>
      <c r="J77" s="38" t="n">
        <v>750</v>
      </c>
    </row>
    <row r="78" ht="22" customHeight="1">
      <c r="A78" s="25" t="inlineStr">
        <is>
          <t>Flavia Parra</t>
        </is>
      </c>
      <c r="B78" s="14" t="inlineStr">
        <is>
          <t>April</t>
        </is>
      </c>
      <c r="C78" s="16" t="n">
        <v>29581.05</v>
      </c>
      <c r="D78" s="37" t="n">
        <v>0</v>
      </c>
      <c r="E78" s="16" t="n">
        <v>885</v>
      </c>
      <c r="F78" s="37" t="n">
        <v>0</v>
      </c>
      <c r="G78" s="16" t="n">
        <v>30832.76</v>
      </c>
      <c r="H78" s="36" t="n">
        <v>750</v>
      </c>
      <c r="I78" s="26" t="n">
        <v>750</v>
      </c>
      <c r="J78" s="38" t="n">
        <v>750</v>
      </c>
    </row>
    <row r="79" ht="22" customHeight="1">
      <c r="A79" s="25" t="inlineStr">
        <is>
          <t>Thalia Rojas</t>
        </is>
      </c>
      <c r="B79" s="14" t="inlineStr">
        <is>
          <t>January</t>
        </is>
      </c>
      <c r="C79" s="16" t="n">
        <v>15503.9</v>
      </c>
      <c r="D79" s="37" t="n">
        <v>0</v>
      </c>
      <c r="E79" s="16" t="n">
        <v>3690</v>
      </c>
      <c r="F79" s="37" t="n">
        <v>0</v>
      </c>
      <c r="G79" s="16" t="n">
        <v>33083.93</v>
      </c>
      <c r="H79" s="36" t="n">
        <v>750</v>
      </c>
      <c r="I79" s="26" t="n">
        <v>750</v>
      </c>
      <c r="J79" s="38" t="n">
        <v>750</v>
      </c>
    </row>
    <row r="80" ht="22" customHeight="1">
      <c r="A80" s="25" t="inlineStr">
        <is>
          <t>Thalia Rojas</t>
        </is>
      </c>
      <c r="B80" s="14" t="inlineStr">
        <is>
          <t>February</t>
        </is>
      </c>
      <c r="C80" s="16" t="n">
        <v>19414.25</v>
      </c>
      <c r="D80" s="37" t="n">
        <v>0</v>
      </c>
      <c r="E80" s="16" t="n">
        <v>7446</v>
      </c>
      <c r="F80" s="37" t="n">
        <v>0</v>
      </c>
      <c r="G80" s="16" t="n">
        <v>28298.16</v>
      </c>
      <c r="H80" s="36" t="n">
        <v>750</v>
      </c>
      <c r="I80" s="26" t="n">
        <v>750</v>
      </c>
      <c r="J80" s="38" t="n">
        <v>750</v>
      </c>
    </row>
    <row r="81" ht="22" customHeight="1">
      <c r="A81" s="25" t="inlineStr">
        <is>
          <t>Thalia Rojas</t>
        </is>
      </c>
      <c r="B81" s="14" t="inlineStr">
        <is>
          <t>April</t>
        </is>
      </c>
      <c r="C81" s="16" t="n">
        <v>14099</v>
      </c>
      <c r="D81" s="37" t="n">
        <v>0</v>
      </c>
      <c r="E81" s="16" t="n">
        <v>3617</v>
      </c>
      <c r="F81" s="37" t="n">
        <v>0</v>
      </c>
      <c r="G81" s="16" t="n">
        <v>39794.4</v>
      </c>
      <c r="H81" s="36" t="n">
        <v>750</v>
      </c>
      <c r="I81" s="26" t="n">
        <v>750</v>
      </c>
      <c r="J81" s="38" t="n">
        <v>750</v>
      </c>
    </row>
    <row r="82" ht="22" customHeight="1">
      <c r="A82" s="25" t="inlineStr">
        <is>
          <t>Monica Valdes</t>
        </is>
      </c>
      <c r="B82" s="14" t="inlineStr">
        <is>
          <t>April</t>
        </is>
      </c>
      <c r="C82" s="16" t="n">
        <v>29755.49</v>
      </c>
      <c r="D82" s="37" t="n">
        <v>0</v>
      </c>
      <c r="E82" s="16" t="n">
        <v>2514</v>
      </c>
      <c r="F82" s="37" t="n">
        <v>0</v>
      </c>
      <c r="G82" s="16" t="n">
        <v>35279.9</v>
      </c>
      <c r="H82" s="36" t="n">
        <v>750</v>
      </c>
      <c r="I82" s="26" t="n">
        <v>750</v>
      </c>
      <c r="J82" s="38" t="n">
        <v>750</v>
      </c>
    </row>
    <row r="83" ht="22" customHeight="1">
      <c r="A83" s="25" t="inlineStr">
        <is>
          <t>Abel Guaina</t>
        </is>
      </c>
      <c r="B83" s="14" t="inlineStr">
        <is>
          <t>April</t>
        </is>
      </c>
      <c r="C83" s="16" t="n">
        <v>37825.93</v>
      </c>
      <c r="D83" s="37" t="n">
        <v>0</v>
      </c>
      <c r="E83" s="16" t="n">
        <v>10935.99</v>
      </c>
      <c r="F83" s="37" t="n">
        <v>0</v>
      </c>
      <c r="G83" s="16" t="n">
        <v>15361.95</v>
      </c>
      <c r="H83" s="37" t="n">
        <v>0</v>
      </c>
      <c r="I83" s="26" t="n">
        <v>0</v>
      </c>
      <c r="J83" s="39" t="n">
        <v>0</v>
      </c>
    </row>
    <row r="84" ht="22" customHeight="1">
      <c r="A84" s="25" t="inlineStr">
        <is>
          <t>Flavia Parra</t>
        </is>
      </c>
      <c r="B84" s="14" t="inlineStr">
        <is>
          <t>March</t>
        </is>
      </c>
      <c r="C84" s="16" t="n">
        <v>31269</v>
      </c>
      <c r="D84" s="37" t="n">
        <v>0</v>
      </c>
      <c r="E84" s="16" t="n">
        <v>0</v>
      </c>
      <c r="F84" s="37" t="n">
        <v>0</v>
      </c>
      <c r="G84" s="16" t="n">
        <v>23526.7</v>
      </c>
      <c r="H84" s="37" t="n">
        <v>0</v>
      </c>
      <c r="I84" s="26" t="n">
        <v>0</v>
      </c>
      <c r="J84" s="39" t="n">
        <v>0</v>
      </c>
    </row>
    <row r="85" ht="22" customHeight="1">
      <c r="A85" s="25" t="inlineStr">
        <is>
          <t>Thalia Rojas</t>
        </is>
      </c>
      <c r="B85" s="14" t="inlineStr">
        <is>
          <t>March</t>
        </is>
      </c>
      <c r="C85" s="16" t="n">
        <v>17843.69</v>
      </c>
      <c r="D85" s="37" t="n">
        <v>0</v>
      </c>
      <c r="E85" s="16" t="n">
        <v>5643.9</v>
      </c>
      <c r="F85" s="37" t="n">
        <v>0</v>
      </c>
      <c r="G85" s="16" t="n">
        <v>19840.85</v>
      </c>
      <c r="H85" s="37" t="n">
        <v>0</v>
      </c>
      <c r="I85" s="26" t="n">
        <v>0</v>
      </c>
      <c r="J85" s="39" t="n">
        <v>0</v>
      </c>
    </row>
    <row r="86" ht="26" customHeight="1">
      <c r="A86" s="40" t="inlineStr">
        <is>
          <t>4-MONTH TOTAL (all 6 agents)</t>
        </is>
      </c>
      <c r="B86" s="41" t="n"/>
      <c r="C86" s="41" t="n"/>
      <c r="D86" s="41" t="n"/>
      <c r="E86" s="41" t="n"/>
      <c r="F86" s="41" t="n"/>
      <c r="G86" s="41" t="n"/>
      <c r="H86" s="41" t="n"/>
      <c r="I86" s="41" t="n"/>
      <c r="J86" s="42" t="n">
        <v>18475</v>
      </c>
    </row>
  </sheetData>
  <mergeCells count="5">
    <mergeCell ref="A1:J1"/>
    <mergeCell ref="A32:J32"/>
    <mergeCell ref="A4:J4"/>
    <mergeCell ref="A2:J2"/>
    <mergeCell ref="A60:J60"/>
  </mergeCells>
  <conditionalFormatting sqref="I6:I29">
    <cfRule type="dataBar" priority="1">
      <dataBar showValue="0">
        <cfvo type="num" val="0"/>
        <cfvo type="num" val="2500"/>
        <color rgb="0063BE7B"/>
      </dataBar>
    </cfRule>
  </conditionalFormatting>
  <conditionalFormatting sqref="I34:I57">
    <cfRule type="dataBar" priority="2">
      <dataBar showValue="0">
        <cfvo type="num" val="0"/>
        <cfvo type="num" val="2500"/>
        <color rgb="0063BE7B"/>
      </dataBar>
    </cfRule>
  </conditionalFormatting>
  <conditionalFormatting sqref="I62:I85">
    <cfRule type="dataBar" priority="3">
      <dataBar showValue="0">
        <cfvo type="num" val="0"/>
        <cfvo type="num" val="2500"/>
        <color rgb="0063BE7B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1" customWidth="1" min="4" max="4"/>
    <col width="7" customWidth="1" min="5" max="5"/>
    <col width="11" customWidth="1" min="6" max="6"/>
    <col width="7" customWidth="1" min="7" max="7"/>
    <col width="11" customWidth="1" min="8" max="8"/>
    <col width="14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</cols>
  <sheetData>
    <row r="1">
      <c r="A1" s="1" t="inlineStr">
        <is>
          <t>CURRENT vs NEW PLAN - per agent-month comparison</t>
        </is>
      </c>
    </row>
    <row r="2">
      <c r="A2" s="4" t="inlineStr">
        <is>
          <t>CURRENT = today's plan: count NB+RWR policies, 30/38/50 tier -&gt; $250/$350/$450 + $10/policy above 50. NEW = the new tier-based plan (NB + RWR + REN combined, REN bonus already includes the assumed +$500 retention kicker at 75%). Sorted by DELTA descending: biggest winners on top, biggest losses at the bottom.</t>
        </is>
      </c>
    </row>
    <row r="4" ht="22" customHeight="1">
      <c r="A4" s="5" t="inlineStr">
        <is>
          <t>SCENARIO 1: REAL DATA (Jan-Apr 2026)</t>
        </is>
      </c>
    </row>
    <row r="5" ht="26" customHeight="1">
      <c r="A5" s="6" t="inlineStr">
        <is>
          <t>Agent</t>
        </is>
      </c>
      <c r="B5" s="6" t="inlineStr">
        <is>
          <t>Month</t>
        </is>
      </c>
      <c r="C5" s="6" t="inlineStr">
        <is>
          <t>NB #</t>
        </is>
      </c>
      <c r="D5" s="6" t="inlineStr">
        <is>
          <t>NB $</t>
        </is>
      </c>
      <c r="E5" s="6" t="inlineStr">
        <is>
          <t>RWR #</t>
        </is>
      </c>
      <c r="F5" s="6" t="inlineStr">
        <is>
          <t>RWR $</t>
        </is>
      </c>
      <c r="G5" s="6" t="inlineStr">
        <is>
          <t>REN #</t>
        </is>
      </c>
      <c r="H5" s="6" t="inlineStr">
        <is>
          <t>REN $</t>
        </is>
      </c>
      <c r="I5" s="6" t="inlineStr">
        <is>
          <t>CURRENT bonus (today)</t>
        </is>
      </c>
      <c r="J5" s="6" t="inlineStr">
        <is>
          <t>NB Bonus</t>
        </is>
      </c>
      <c r="K5" s="6" t="inlineStr">
        <is>
          <t>RWR Bonus</t>
        </is>
      </c>
      <c r="L5" s="6" t="inlineStr">
        <is>
          <t>REN Bonus</t>
        </is>
      </c>
      <c r="M5" s="6" t="inlineStr">
        <is>
          <t>NEW TOTAL</t>
        </is>
      </c>
      <c r="N5" s="6" t="inlineStr">
        <is>
          <t>DELTA (new - current)</t>
        </is>
      </c>
    </row>
    <row r="6" ht="22" customHeight="1">
      <c r="A6" s="25" t="inlineStr">
        <is>
          <t>Abel Guaina</t>
        </is>
      </c>
      <c r="B6" s="14" t="inlineStr">
        <is>
          <t>March</t>
        </is>
      </c>
      <c r="C6" s="15" t="n">
        <v>30</v>
      </c>
      <c r="D6" s="16" t="n">
        <v>46523.37</v>
      </c>
      <c r="E6" s="15" t="n">
        <v>17</v>
      </c>
      <c r="F6" s="16" t="n">
        <v>25227.6</v>
      </c>
      <c r="G6" s="15" t="n">
        <v>5</v>
      </c>
      <c r="H6" s="16" t="n">
        <v>3901</v>
      </c>
      <c r="I6" s="43" t="n">
        <v>350</v>
      </c>
      <c r="J6" s="36" t="n">
        <v>250</v>
      </c>
      <c r="K6" s="37" t="n">
        <v>0</v>
      </c>
      <c r="L6" s="37" t="n">
        <v>0</v>
      </c>
      <c r="M6" s="44" t="n">
        <v>250</v>
      </c>
      <c r="N6" s="45" t="n">
        <v>-100</v>
      </c>
    </row>
    <row r="7" ht="22" customHeight="1">
      <c r="A7" s="25" t="inlineStr">
        <is>
          <t>Monica Valdes</t>
        </is>
      </c>
      <c r="B7" s="14" t="inlineStr">
        <is>
          <t>March</t>
        </is>
      </c>
      <c r="C7" s="15" t="n">
        <v>36</v>
      </c>
      <c r="D7" s="16" t="n">
        <v>68546.22</v>
      </c>
      <c r="E7" s="15" t="n">
        <v>28</v>
      </c>
      <c r="F7" s="16" t="n">
        <v>39254.65</v>
      </c>
      <c r="G7" s="15" t="n">
        <v>0</v>
      </c>
      <c r="H7" s="16" t="n">
        <v>0</v>
      </c>
      <c r="I7" s="43" t="n">
        <v>590</v>
      </c>
      <c r="J7" s="36" t="n">
        <v>375</v>
      </c>
      <c r="K7" s="37" t="n">
        <v>0</v>
      </c>
      <c r="L7" s="37" t="n">
        <v>0</v>
      </c>
      <c r="M7" s="44" t="n">
        <v>375</v>
      </c>
      <c r="N7" s="45" t="n">
        <v>-215</v>
      </c>
    </row>
    <row r="8" ht="22" customHeight="1">
      <c r="A8" s="25" t="inlineStr">
        <is>
          <t>Abel Guaina</t>
        </is>
      </c>
      <c r="B8" s="14" t="inlineStr">
        <is>
          <t>February</t>
        </is>
      </c>
      <c r="C8" s="15" t="n">
        <v>13</v>
      </c>
      <c r="D8" s="16" t="n">
        <v>25367</v>
      </c>
      <c r="E8" s="15" t="n">
        <v>19</v>
      </c>
      <c r="F8" s="16" t="n">
        <v>30643</v>
      </c>
      <c r="G8" s="15" t="n">
        <v>7</v>
      </c>
      <c r="H8" s="16" t="n">
        <v>7517</v>
      </c>
      <c r="I8" s="43" t="n">
        <v>250</v>
      </c>
      <c r="J8" s="37" t="n">
        <v>0</v>
      </c>
      <c r="K8" s="37" t="n">
        <v>0</v>
      </c>
      <c r="L8" s="37" t="n">
        <v>0</v>
      </c>
      <c r="M8" s="45" t="n">
        <v>0</v>
      </c>
      <c r="N8" s="45" t="n">
        <v>-250</v>
      </c>
    </row>
    <row r="9" ht="22" customHeight="1">
      <c r="A9" s="25" t="inlineStr">
        <is>
          <t>Dialinerys Dieguez</t>
        </is>
      </c>
      <c r="B9" s="14" t="inlineStr">
        <is>
          <t>April</t>
        </is>
      </c>
      <c r="C9" s="15" t="n">
        <v>33</v>
      </c>
      <c r="D9" s="16" t="n">
        <v>49689.35</v>
      </c>
      <c r="E9" s="15" t="n">
        <v>44</v>
      </c>
      <c r="F9" s="16" t="n">
        <v>64165.43</v>
      </c>
      <c r="G9" s="15" t="n">
        <v>2</v>
      </c>
      <c r="H9" s="16" t="n">
        <v>19575</v>
      </c>
      <c r="I9" s="43" t="n">
        <v>720</v>
      </c>
      <c r="J9" s="36" t="n">
        <v>250</v>
      </c>
      <c r="K9" s="36" t="n">
        <v>200</v>
      </c>
      <c r="L9" s="37" t="n">
        <v>0</v>
      </c>
      <c r="M9" s="44" t="n">
        <v>450</v>
      </c>
      <c r="N9" s="45" t="n">
        <v>-270</v>
      </c>
    </row>
    <row r="10" ht="22" customHeight="1">
      <c r="A10" s="25" t="inlineStr">
        <is>
          <t>Abel Guaina</t>
        </is>
      </c>
      <c r="B10" s="14" t="inlineStr">
        <is>
          <t>January</t>
        </is>
      </c>
      <c r="C10" s="15" t="n">
        <v>25</v>
      </c>
      <c r="D10" s="16" t="n">
        <v>38611.42</v>
      </c>
      <c r="E10" s="15" t="n">
        <v>17</v>
      </c>
      <c r="F10" s="16" t="n">
        <v>27518.5</v>
      </c>
      <c r="G10" s="15" t="n">
        <v>9</v>
      </c>
      <c r="H10" s="16" t="n">
        <v>7605</v>
      </c>
      <c r="I10" s="43" t="n">
        <v>350</v>
      </c>
      <c r="J10" s="37" t="n">
        <v>0</v>
      </c>
      <c r="K10" s="37" t="n">
        <v>0</v>
      </c>
      <c r="L10" s="37" t="n">
        <v>0</v>
      </c>
      <c r="M10" s="45" t="n">
        <v>0</v>
      </c>
      <c r="N10" s="45" t="n">
        <v>-350</v>
      </c>
    </row>
    <row r="11" ht="22" customHeight="1">
      <c r="A11" s="25" t="inlineStr">
        <is>
          <t>Abel Guaina</t>
        </is>
      </c>
      <c r="B11" s="14" t="inlineStr">
        <is>
          <t>April</t>
        </is>
      </c>
      <c r="C11" s="15" t="n">
        <v>27</v>
      </c>
      <c r="D11" s="16" t="n">
        <v>37825.93</v>
      </c>
      <c r="E11" s="15" t="n">
        <v>15</v>
      </c>
      <c r="F11" s="16" t="n">
        <v>15361.95</v>
      </c>
      <c r="G11" s="15" t="n">
        <v>13</v>
      </c>
      <c r="H11" s="16" t="n">
        <v>10935.99</v>
      </c>
      <c r="I11" s="43" t="n">
        <v>350</v>
      </c>
      <c r="J11" s="37" t="n">
        <v>0</v>
      </c>
      <c r="K11" s="37" t="n">
        <v>0</v>
      </c>
      <c r="L11" s="37" t="n">
        <v>0</v>
      </c>
      <c r="M11" s="45" t="n">
        <v>0</v>
      </c>
      <c r="N11" s="45" t="n">
        <v>-350</v>
      </c>
    </row>
    <row r="12" ht="22" customHeight="1">
      <c r="A12" s="25" t="inlineStr">
        <is>
          <t>Thalia Rojas</t>
        </is>
      </c>
      <c r="B12" s="14" t="inlineStr">
        <is>
          <t>January</t>
        </is>
      </c>
      <c r="C12" s="15" t="n">
        <v>10</v>
      </c>
      <c r="D12" s="16" t="n">
        <v>15503.9</v>
      </c>
      <c r="E12" s="15" t="n">
        <v>28</v>
      </c>
      <c r="F12" s="16" t="n">
        <v>33083.93</v>
      </c>
      <c r="G12" s="15" t="n">
        <v>4</v>
      </c>
      <c r="H12" s="16" t="n">
        <v>3690</v>
      </c>
      <c r="I12" s="43" t="n">
        <v>350</v>
      </c>
      <c r="J12" s="37" t="n">
        <v>0</v>
      </c>
      <c r="K12" s="37" t="n">
        <v>0</v>
      </c>
      <c r="L12" s="37" t="n">
        <v>0</v>
      </c>
      <c r="M12" s="45" t="n">
        <v>0</v>
      </c>
      <c r="N12" s="45" t="n">
        <v>-350</v>
      </c>
    </row>
    <row r="13" ht="22" customHeight="1">
      <c r="A13" s="25" t="inlineStr">
        <is>
          <t>Thalia Rojas</t>
        </is>
      </c>
      <c r="B13" s="14" t="inlineStr">
        <is>
          <t>February</t>
        </is>
      </c>
      <c r="C13" s="15" t="n">
        <v>14</v>
      </c>
      <c r="D13" s="16" t="n">
        <v>19414.25</v>
      </c>
      <c r="E13" s="15" t="n">
        <v>24</v>
      </c>
      <c r="F13" s="16" t="n">
        <v>28298.16</v>
      </c>
      <c r="G13" s="15" t="n">
        <v>5</v>
      </c>
      <c r="H13" s="16" t="n">
        <v>7446</v>
      </c>
      <c r="I13" s="43" t="n">
        <v>350</v>
      </c>
      <c r="J13" s="37" t="n">
        <v>0</v>
      </c>
      <c r="K13" s="37" t="n">
        <v>0</v>
      </c>
      <c r="L13" s="37" t="n">
        <v>0</v>
      </c>
      <c r="M13" s="45" t="n">
        <v>0</v>
      </c>
      <c r="N13" s="45" t="n">
        <v>-350</v>
      </c>
    </row>
    <row r="14" ht="22" customHeight="1">
      <c r="A14" s="25" t="inlineStr">
        <is>
          <t>Thalia Rojas</t>
        </is>
      </c>
      <c r="B14" s="14" t="inlineStr">
        <is>
          <t>March</t>
        </is>
      </c>
      <c r="C14" s="15" t="n">
        <v>19</v>
      </c>
      <c r="D14" s="16" t="n">
        <v>17843.69</v>
      </c>
      <c r="E14" s="15" t="n">
        <v>19</v>
      </c>
      <c r="F14" s="16" t="n">
        <v>19840.85</v>
      </c>
      <c r="G14" s="15" t="n">
        <v>6</v>
      </c>
      <c r="H14" s="16" t="n">
        <v>5643.9</v>
      </c>
      <c r="I14" s="43" t="n">
        <v>350</v>
      </c>
      <c r="J14" s="37" t="n">
        <v>0</v>
      </c>
      <c r="K14" s="37" t="n">
        <v>0</v>
      </c>
      <c r="L14" s="37" t="n">
        <v>0</v>
      </c>
      <c r="M14" s="45" t="n">
        <v>0</v>
      </c>
      <c r="N14" s="45" t="n">
        <v>-350</v>
      </c>
    </row>
    <row r="15" ht="22" customHeight="1">
      <c r="A15" s="25" t="inlineStr">
        <is>
          <t>Thalia Rojas</t>
        </is>
      </c>
      <c r="B15" s="14" t="inlineStr">
        <is>
          <t>April</t>
        </is>
      </c>
      <c r="C15" s="15" t="n">
        <v>9</v>
      </c>
      <c r="D15" s="16" t="n">
        <v>14099</v>
      </c>
      <c r="E15" s="15" t="n">
        <v>29</v>
      </c>
      <c r="F15" s="16" t="n">
        <v>39794.4</v>
      </c>
      <c r="G15" s="15" t="n">
        <v>3</v>
      </c>
      <c r="H15" s="16" t="n">
        <v>3617</v>
      </c>
      <c r="I15" s="43" t="n">
        <v>350</v>
      </c>
      <c r="J15" s="37" t="n">
        <v>0</v>
      </c>
      <c r="K15" s="37" t="n">
        <v>0</v>
      </c>
      <c r="L15" s="37" t="n">
        <v>0</v>
      </c>
      <c r="M15" s="45" t="n">
        <v>0</v>
      </c>
      <c r="N15" s="45" t="n">
        <v>-350</v>
      </c>
    </row>
    <row r="16" ht="22" customHeight="1">
      <c r="A16" s="25" t="inlineStr">
        <is>
          <t>Monica Valdes</t>
        </is>
      </c>
      <c r="B16" s="14" t="inlineStr">
        <is>
          <t>April</t>
        </is>
      </c>
      <c r="C16" s="15" t="n">
        <v>22</v>
      </c>
      <c r="D16" s="16" t="n">
        <v>29755.49</v>
      </c>
      <c r="E16" s="15" t="n">
        <v>22</v>
      </c>
      <c r="F16" s="16" t="n">
        <v>35279.9</v>
      </c>
      <c r="G16" s="15" t="n">
        <v>2</v>
      </c>
      <c r="H16" s="16" t="n">
        <v>2514</v>
      </c>
      <c r="I16" s="43" t="n">
        <v>350</v>
      </c>
      <c r="J16" s="37" t="n">
        <v>0</v>
      </c>
      <c r="K16" s="37" t="n">
        <v>0</v>
      </c>
      <c r="L16" s="37" t="n">
        <v>0</v>
      </c>
      <c r="M16" s="45" t="n">
        <v>0</v>
      </c>
      <c r="N16" s="45" t="n">
        <v>-350</v>
      </c>
    </row>
    <row r="17" ht="22" customHeight="1">
      <c r="A17" s="25" t="inlineStr">
        <is>
          <t>Dialinerys Dieguez</t>
        </is>
      </c>
      <c r="B17" s="14" t="inlineStr">
        <is>
          <t>March</t>
        </is>
      </c>
      <c r="C17" s="15" t="n">
        <v>38</v>
      </c>
      <c r="D17" s="16" t="n">
        <v>52434.9</v>
      </c>
      <c r="E17" s="15" t="n">
        <v>69</v>
      </c>
      <c r="F17" s="16" t="n">
        <v>96228.35000000001</v>
      </c>
      <c r="G17" s="15" t="n">
        <v>7</v>
      </c>
      <c r="H17" s="16" t="n">
        <v>5962.5</v>
      </c>
      <c r="I17" s="43" t="n">
        <v>1020</v>
      </c>
      <c r="J17" s="36" t="n">
        <v>250</v>
      </c>
      <c r="K17" s="36" t="n">
        <v>350</v>
      </c>
      <c r="L17" s="37" t="n">
        <v>0</v>
      </c>
      <c r="M17" s="44" t="n">
        <v>600</v>
      </c>
      <c r="N17" s="45" t="n">
        <v>-420</v>
      </c>
    </row>
    <row r="18" ht="22" customHeight="1">
      <c r="A18" s="25" t="inlineStr">
        <is>
          <t>Melissa Hernandez</t>
        </is>
      </c>
      <c r="B18" s="14" t="inlineStr">
        <is>
          <t>February</t>
        </is>
      </c>
      <c r="C18" s="15" t="n">
        <v>13</v>
      </c>
      <c r="D18" s="16" t="n">
        <v>7659.5</v>
      </c>
      <c r="E18" s="15" t="n">
        <v>37</v>
      </c>
      <c r="F18" s="16" t="n">
        <v>49990.7</v>
      </c>
      <c r="G18" s="15" t="n">
        <v>1</v>
      </c>
      <c r="H18" s="16" t="n">
        <v>1063</v>
      </c>
      <c r="I18" s="43" t="n">
        <v>450</v>
      </c>
      <c r="J18" s="37" t="n">
        <v>0</v>
      </c>
      <c r="K18" s="37" t="n">
        <v>0</v>
      </c>
      <c r="L18" s="37" t="n">
        <v>0</v>
      </c>
      <c r="M18" s="45" t="n">
        <v>0</v>
      </c>
      <c r="N18" s="45" t="n">
        <v>-450</v>
      </c>
    </row>
    <row r="19" ht="22" customHeight="1">
      <c r="A19" s="25" t="inlineStr">
        <is>
          <t>Monica Valdes</t>
        </is>
      </c>
      <c r="B19" s="14" t="inlineStr">
        <is>
          <t>February</t>
        </is>
      </c>
      <c r="C19" s="15" t="n">
        <v>21</v>
      </c>
      <c r="D19" s="16" t="n">
        <v>31516.95</v>
      </c>
      <c r="E19" s="15" t="n">
        <v>29</v>
      </c>
      <c r="F19" s="16" t="n">
        <v>47228.18</v>
      </c>
      <c r="G19" s="15" t="n">
        <v>2</v>
      </c>
      <c r="H19" s="16" t="n">
        <v>3092</v>
      </c>
      <c r="I19" s="43" t="n">
        <v>450</v>
      </c>
      <c r="J19" s="37" t="n">
        <v>0</v>
      </c>
      <c r="K19" s="37" t="n">
        <v>0</v>
      </c>
      <c r="L19" s="37" t="n">
        <v>0</v>
      </c>
      <c r="M19" s="45" t="n">
        <v>0</v>
      </c>
      <c r="N19" s="45" t="n">
        <v>-450</v>
      </c>
    </row>
    <row r="20" ht="22" customHeight="1">
      <c r="A20" s="25" t="inlineStr">
        <is>
          <t>Melissa Hernandez</t>
        </is>
      </c>
      <c r="B20" s="14" t="inlineStr">
        <is>
          <t>April</t>
        </is>
      </c>
      <c r="C20" s="15" t="n">
        <v>15</v>
      </c>
      <c r="D20" s="16" t="n">
        <v>19288.35</v>
      </c>
      <c r="E20" s="15" t="n">
        <v>37</v>
      </c>
      <c r="F20" s="16" t="n">
        <v>43396.2</v>
      </c>
      <c r="G20" s="15" t="n">
        <v>0</v>
      </c>
      <c r="H20" s="16" t="n">
        <v>0</v>
      </c>
      <c r="I20" s="43" t="n">
        <v>470</v>
      </c>
      <c r="J20" s="37" t="n">
        <v>0</v>
      </c>
      <c r="K20" s="37" t="n">
        <v>0</v>
      </c>
      <c r="L20" s="37" t="n">
        <v>0</v>
      </c>
      <c r="M20" s="45" t="n">
        <v>0</v>
      </c>
      <c r="N20" s="45" t="n">
        <v>-470</v>
      </c>
    </row>
    <row r="21" ht="22" customHeight="1">
      <c r="A21" s="25" t="inlineStr">
        <is>
          <t>Flavia Parra</t>
        </is>
      </c>
      <c r="B21" s="14" t="inlineStr">
        <is>
          <t>January</t>
        </is>
      </c>
      <c r="C21" s="15" t="n">
        <v>19</v>
      </c>
      <c r="D21" s="16" t="n">
        <v>28525.05</v>
      </c>
      <c r="E21" s="15" t="n">
        <v>35</v>
      </c>
      <c r="F21" s="16" t="n">
        <v>39558.05</v>
      </c>
      <c r="G21" s="15" t="n">
        <v>1</v>
      </c>
      <c r="H21" s="16" t="n">
        <v>1464.35</v>
      </c>
      <c r="I21" s="43" t="n">
        <v>490</v>
      </c>
      <c r="J21" s="37" t="n">
        <v>0</v>
      </c>
      <c r="K21" s="37" t="n">
        <v>0</v>
      </c>
      <c r="L21" s="37" t="n">
        <v>0</v>
      </c>
      <c r="M21" s="45" t="n">
        <v>0</v>
      </c>
      <c r="N21" s="45" t="n">
        <v>-490</v>
      </c>
    </row>
    <row r="22" ht="22" customHeight="1">
      <c r="A22" s="25" t="inlineStr">
        <is>
          <t>Flavia Parra</t>
        </is>
      </c>
      <c r="B22" s="14" t="inlineStr">
        <is>
          <t>March</t>
        </is>
      </c>
      <c r="C22" s="15" t="n">
        <v>27</v>
      </c>
      <c r="D22" s="16" t="n">
        <v>31269</v>
      </c>
      <c r="E22" s="15" t="n">
        <v>27</v>
      </c>
      <c r="F22" s="16" t="n">
        <v>23526.7</v>
      </c>
      <c r="G22" s="15" t="n">
        <v>0</v>
      </c>
      <c r="H22" s="16" t="n">
        <v>0</v>
      </c>
      <c r="I22" s="43" t="n">
        <v>490</v>
      </c>
      <c r="J22" s="37" t="n">
        <v>0</v>
      </c>
      <c r="K22" s="37" t="n">
        <v>0</v>
      </c>
      <c r="L22" s="37" t="n">
        <v>0</v>
      </c>
      <c r="M22" s="45" t="n">
        <v>0</v>
      </c>
      <c r="N22" s="45" t="n">
        <v>-490</v>
      </c>
    </row>
    <row r="23" ht="22" customHeight="1">
      <c r="A23" s="25" t="inlineStr">
        <is>
          <t>Flavia Parra</t>
        </is>
      </c>
      <c r="B23" s="14" t="inlineStr">
        <is>
          <t>April</t>
        </is>
      </c>
      <c r="C23" s="15" t="n">
        <v>23</v>
      </c>
      <c r="D23" s="16" t="n">
        <v>29581.05</v>
      </c>
      <c r="E23" s="15" t="n">
        <v>31</v>
      </c>
      <c r="F23" s="16" t="n">
        <v>30832.76</v>
      </c>
      <c r="G23" s="15" t="n">
        <v>1</v>
      </c>
      <c r="H23" s="16" t="n">
        <v>885</v>
      </c>
      <c r="I23" s="43" t="n">
        <v>490</v>
      </c>
      <c r="J23" s="37" t="n">
        <v>0</v>
      </c>
      <c r="K23" s="37" t="n">
        <v>0</v>
      </c>
      <c r="L23" s="37" t="n">
        <v>0</v>
      </c>
      <c r="M23" s="45" t="n">
        <v>0</v>
      </c>
      <c r="N23" s="45" t="n">
        <v>-490</v>
      </c>
    </row>
    <row r="24" ht="22" customHeight="1">
      <c r="A24" s="25" t="inlineStr">
        <is>
          <t>Monica Valdes</t>
        </is>
      </c>
      <c r="B24" s="14" t="inlineStr">
        <is>
          <t>January</t>
        </is>
      </c>
      <c r="C24" s="15" t="n">
        <v>23</v>
      </c>
      <c r="D24" s="16" t="n">
        <v>28605.29</v>
      </c>
      <c r="E24" s="15" t="n">
        <v>37</v>
      </c>
      <c r="F24" s="16" t="n">
        <v>48612.96</v>
      </c>
      <c r="G24" s="15" t="n">
        <v>6</v>
      </c>
      <c r="H24" s="16" t="n">
        <v>6502.91</v>
      </c>
      <c r="I24" s="43" t="n">
        <v>550</v>
      </c>
      <c r="J24" s="37" t="n">
        <v>0</v>
      </c>
      <c r="K24" s="37" t="n">
        <v>0</v>
      </c>
      <c r="L24" s="37" t="n">
        <v>0</v>
      </c>
      <c r="M24" s="45" t="n">
        <v>0</v>
      </c>
      <c r="N24" s="45" t="n">
        <v>-550</v>
      </c>
    </row>
    <row r="25" ht="22" customHeight="1">
      <c r="A25" s="25" t="inlineStr">
        <is>
          <t>Flavia Parra</t>
        </is>
      </c>
      <c r="B25" s="14" t="inlineStr">
        <is>
          <t>February</t>
        </is>
      </c>
      <c r="C25" s="15" t="n">
        <v>23</v>
      </c>
      <c r="D25" s="16" t="n">
        <v>22247.7</v>
      </c>
      <c r="E25" s="15" t="n">
        <v>42</v>
      </c>
      <c r="F25" s="16" t="n">
        <v>43687.45</v>
      </c>
      <c r="G25" s="15" t="n">
        <v>2</v>
      </c>
      <c r="H25" s="16" t="n">
        <v>2099</v>
      </c>
      <c r="I25" s="43" t="n">
        <v>600</v>
      </c>
      <c r="J25" s="37" t="n">
        <v>0</v>
      </c>
      <c r="K25" s="37" t="n">
        <v>0</v>
      </c>
      <c r="L25" s="37" t="n">
        <v>0</v>
      </c>
      <c r="M25" s="45" t="n">
        <v>0</v>
      </c>
      <c r="N25" s="45" t="n">
        <v>-600</v>
      </c>
    </row>
    <row r="26" ht="22" customHeight="1">
      <c r="A26" s="25" t="inlineStr">
        <is>
          <t>Dialinerys Dieguez</t>
        </is>
      </c>
      <c r="B26" s="14" t="inlineStr">
        <is>
          <t>January</t>
        </is>
      </c>
      <c r="C26" s="15" t="n">
        <v>23</v>
      </c>
      <c r="D26" s="16" t="n">
        <v>40249.26</v>
      </c>
      <c r="E26" s="15" t="n">
        <v>48</v>
      </c>
      <c r="F26" s="16" t="n">
        <v>65675.38</v>
      </c>
      <c r="G26" s="15" t="n">
        <v>11</v>
      </c>
      <c r="H26" s="16" t="n">
        <v>12530.47</v>
      </c>
      <c r="I26" s="43" t="n">
        <v>660</v>
      </c>
      <c r="J26" s="37" t="n">
        <v>0</v>
      </c>
      <c r="K26" s="37" t="n">
        <v>0</v>
      </c>
      <c r="L26" s="37" t="n">
        <v>0</v>
      </c>
      <c r="M26" s="45" t="n">
        <v>0</v>
      </c>
      <c r="N26" s="45" t="n">
        <v>-660</v>
      </c>
    </row>
    <row r="27" ht="22" customHeight="1">
      <c r="A27" s="25" t="inlineStr">
        <is>
          <t>Melissa Hernandez</t>
        </is>
      </c>
      <c r="B27" s="14" t="inlineStr">
        <is>
          <t>March</t>
        </is>
      </c>
      <c r="C27" s="15" t="n">
        <v>28</v>
      </c>
      <c r="D27" s="16" t="n">
        <v>39759.7</v>
      </c>
      <c r="E27" s="15" t="n">
        <v>48</v>
      </c>
      <c r="F27" s="16" t="n">
        <v>56860.6</v>
      </c>
      <c r="G27" s="15" t="n">
        <v>1</v>
      </c>
      <c r="H27" s="16" t="n">
        <v>1034</v>
      </c>
      <c r="I27" s="43" t="n">
        <v>710</v>
      </c>
      <c r="J27" s="37" t="n">
        <v>0</v>
      </c>
      <c r="K27" s="37" t="n">
        <v>0</v>
      </c>
      <c r="L27" s="37" t="n">
        <v>0</v>
      </c>
      <c r="M27" s="45" t="n">
        <v>0</v>
      </c>
      <c r="N27" s="45" t="n">
        <v>-710</v>
      </c>
    </row>
    <row r="28" ht="22" customHeight="1">
      <c r="A28" s="25" t="inlineStr">
        <is>
          <t>Dialinerys Dieguez</t>
        </is>
      </c>
      <c r="B28" s="14" t="inlineStr">
        <is>
          <t>February</t>
        </is>
      </c>
      <c r="C28" s="15" t="n">
        <v>23</v>
      </c>
      <c r="D28" s="16" t="n">
        <v>30057.89</v>
      </c>
      <c r="E28" s="15" t="n">
        <v>56</v>
      </c>
      <c r="F28" s="16" t="n">
        <v>85544.60000000001</v>
      </c>
      <c r="G28" s="15" t="n">
        <v>9</v>
      </c>
      <c r="H28" s="16" t="n">
        <v>11629.68</v>
      </c>
      <c r="I28" s="43" t="n">
        <v>740</v>
      </c>
      <c r="J28" s="37" t="n">
        <v>0</v>
      </c>
      <c r="K28" s="37" t="n">
        <v>0</v>
      </c>
      <c r="L28" s="37" t="n">
        <v>0</v>
      </c>
      <c r="M28" s="45" t="n">
        <v>0</v>
      </c>
      <c r="N28" s="45" t="n">
        <v>-740</v>
      </c>
    </row>
    <row r="29" ht="22" customHeight="1">
      <c r="A29" s="25" t="inlineStr">
        <is>
          <t>Melissa Hernandez</t>
        </is>
      </c>
      <c r="B29" s="14" t="inlineStr">
        <is>
          <t>January</t>
        </is>
      </c>
      <c r="C29" s="15" t="n">
        <v>31</v>
      </c>
      <c r="D29" s="16" t="n">
        <v>37039</v>
      </c>
      <c r="E29" s="15" t="n">
        <v>48</v>
      </c>
      <c r="F29" s="16" t="n">
        <v>63374.5</v>
      </c>
      <c r="G29" s="15" t="n">
        <v>0</v>
      </c>
      <c r="H29" s="16" t="n">
        <v>0</v>
      </c>
      <c r="I29" s="43" t="n">
        <v>740</v>
      </c>
      <c r="J29" s="37" t="n">
        <v>0</v>
      </c>
      <c r="K29" s="37" t="n">
        <v>0</v>
      </c>
      <c r="L29" s="37" t="n">
        <v>0</v>
      </c>
      <c r="M29" s="45" t="n">
        <v>0</v>
      </c>
      <c r="N29" s="45" t="n">
        <v>-740</v>
      </c>
    </row>
    <row r="30" ht="28" customHeight="1">
      <c r="A30" s="18" t="inlineStr">
        <is>
          <t>4-MONTH TOTAL (all 6 agents)</t>
        </is>
      </c>
      <c r="B30" s="41" t="n"/>
      <c r="C30" s="41" t="n"/>
      <c r="D30" s="41" t="n"/>
      <c r="E30" s="41" t="n"/>
      <c r="F30" s="41" t="n"/>
      <c r="G30" s="41" t="n"/>
      <c r="H30" s="41" t="n"/>
      <c r="I30" s="46" t="n">
        <v>12220</v>
      </c>
      <c r="J30" s="41" t="n"/>
      <c r="K30" s="41" t="n"/>
      <c r="L30" s="41" t="n"/>
      <c r="M30" s="47" t="n">
        <v>1675</v>
      </c>
      <c r="N30" s="45" t="n">
        <v>-10545</v>
      </c>
    </row>
    <row r="32" ht="22" customHeight="1">
      <c r="A32" s="5" t="inlineStr">
        <is>
          <t>SCENARIO 2: 50% SWAP (half of RWR -&gt; REN)</t>
        </is>
      </c>
    </row>
    <row r="33" ht="26" customHeight="1">
      <c r="A33" s="6" t="inlineStr">
        <is>
          <t>Agent</t>
        </is>
      </c>
      <c r="B33" s="6" t="inlineStr">
        <is>
          <t>Month</t>
        </is>
      </c>
      <c r="C33" s="6" t="inlineStr">
        <is>
          <t>NB #</t>
        </is>
      </c>
      <c r="D33" s="6" t="inlineStr">
        <is>
          <t>NB $</t>
        </is>
      </c>
      <c r="E33" s="6" t="inlineStr">
        <is>
          <t>RWR #</t>
        </is>
      </c>
      <c r="F33" s="6" t="inlineStr">
        <is>
          <t>RWR $</t>
        </is>
      </c>
      <c r="G33" s="6" t="inlineStr">
        <is>
          <t>REN #</t>
        </is>
      </c>
      <c r="H33" s="6" t="inlineStr">
        <is>
          <t>REN $</t>
        </is>
      </c>
      <c r="I33" s="6" t="inlineStr">
        <is>
          <t>CURRENT bonus (today)</t>
        </is>
      </c>
      <c r="J33" s="6" t="inlineStr">
        <is>
          <t>NB Bonus</t>
        </is>
      </c>
      <c r="K33" s="6" t="inlineStr">
        <is>
          <t>RWR Bonus</t>
        </is>
      </c>
      <c r="L33" s="6" t="inlineStr">
        <is>
          <t>REN Bonus</t>
        </is>
      </c>
      <c r="M33" s="6" t="inlineStr">
        <is>
          <t>NEW TOTAL</t>
        </is>
      </c>
      <c r="N33" s="6" t="inlineStr">
        <is>
          <t>DELTA (new - current)</t>
        </is>
      </c>
    </row>
    <row r="34" ht="22" customHeight="1">
      <c r="A34" s="25" t="inlineStr">
        <is>
          <t>Dialinerys Dieguez</t>
        </is>
      </c>
      <c r="B34" s="14" t="inlineStr">
        <is>
          <t>April</t>
        </is>
      </c>
      <c r="C34" s="15" t="n">
        <v>33</v>
      </c>
      <c r="D34" s="16" t="n">
        <v>49689.35</v>
      </c>
      <c r="E34" s="15" t="n">
        <v>22</v>
      </c>
      <c r="F34" s="16" t="n">
        <v>32082.715</v>
      </c>
      <c r="G34" s="15" t="n">
        <v>24</v>
      </c>
      <c r="H34" s="16" t="n">
        <v>51657.715</v>
      </c>
      <c r="I34" s="43" t="n">
        <v>500</v>
      </c>
      <c r="J34" s="36" t="n">
        <v>250</v>
      </c>
      <c r="K34" s="37" t="n">
        <v>0</v>
      </c>
      <c r="L34" s="36" t="n">
        <v>850</v>
      </c>
      <c r="M34" s="44" t="n">
        <v>1100</v>
      </c>
      <c r="N34" s="44" t="n">
        <v>600</v>
      </c>
    </row>
    <row r="35" ht="22" customHeight="1">
      <c r="A35" s="25" t="inlineStr">
        <is>
          <t>Dialinerys Dieguez</t>
        </is>
      </c>
      <c r="B35" s="14" t="inlineStr">
        <is>
          <t>March</t>
        </is>
      </c>
      <c r="C35" s="15" t="n">
        <v>38</v>
      </c>
      <c r="D35" s="16" t="n">
        <v>52434.9</v>
      </c>
      <c r="E35" s="15" t="n">
        <v>35</v>
      </c>
      <c r="F35" s="16" t="n">
        <v>48114.175</v>
      </c>
      <c r="G35" s="15" t="n">
        <v>41</v>
      </c>
      <c r="H35" s="16" t="n">
        <v>54076.675</v>
      </c>
      <c r="I35" s="43" t="n">
        <v>680</v>
      </c>
      <c r="J35" s="36" t="n">
        <v>250</v>
      </c>
      <c r="K35" s="36" t="n">
        <v>100</v>
      </c>
      <c r="L35" s="36" t="n">
        <v>850</v>
      </c>
      <c r="M35" s="44" t="n">
        <v>1200</v>
      </c>
      <c r="N35" s="44" t="n">
        <v>520</v>
      </c>
    </row>
    <row r="36" ht="22" customHeight="1">
      <c r="A36" s="25" t="inlineStr">
        <is>
          <t>Dialinerys Dieguez</t>
        </is>
      </c>
      <c r="B36" s="14" t="inlineStr">
        <is>
          <t>January</t>
        </is>
      </c>
      <c r="C36" s="15" t="n">
        <v>23</v>
      </c>
      <c r="D36" s="16" t="n">
        <v>40249.26</v>
      </c>
      <c r="E36" s="15" t="n">
        <v>24</v>
      </c>
      <c r="F36" s="16" t="n">
        <v>32837.69</v>
      </c>
      <c r="G36" s="15" t="n">
        <v>35</v>
      </c>
      <c r="H36" s="16" t="n">
        <v>45368.16</v>
      </c>
      <c r="I36" s="43" t="n">
        <v>350</v>
      </c>
      <c r="J36" s="37" t="n">
        <v>0</v>
      </c>
      <c r="K36" s="37" t="n">
        <v>0</v>
      </c>
      <c r="L36" s="36" t="n">
        <v>850</v>
      </c>
      <c r="M36" s="44" t="n">
        <v>850</v>
      </c>
      <c r="N36" s="44" t="n">
        <v>500</v>
      </c>
    </row>
    <row r="37" ht="22" customHeight="1">
      <c r="A37" s="25" t="inlineStr">
        <is>
          <t>Melissa Hernandez</t>
        </is>
      </c>
      <c r="B37" s="14" t="inlineStr">
        <is>
          <t>February</t>
        </is>
      </c>
      <c r="C37" s="15" t="n">
        <v>13</v>
      </c>
      <c r="D37" s="16" t="n">
        <v>7659.5</v>
      </c>
      <c r="E37" s="15" t="n">
        <v>19</v>
      </c>
      <c r="F37" s="16" t="n">
        <v>24995.35</v>
      </c>
      <c r="G37" s="15" t="n">
        <v>19</v>
      </c>
      <c r="H37" s="16" t="n">
        <v>26058.35</v>
      </c>
      <c r="I37" s="43" t="n">
        <v>250</v>
      </c>
      <c r="J37" s="37" t="n">
        <v>0</v>
      </c>
      <c r="K37" s="37" t="n">
        <v>0</v>
      </c>
      <c r="L37" s="36" t="n">
        <v>750</v>
      </c>
      <c r="M37" s="44" t="n">
        <v>750</v>
      </c>
      <c r="N37" s="44" t="n">
        <v>500</v>
      </c>
    </row>
    <row r="38" ht="22" customHeight="1">
      <c r="A38" s="25" t="inlineStr">
        <is>
          <t>Monica Valdes</t>
        </is>
      </c>
      <c r="B38" s="14" t="inlineStr">
        <is>
          <t>January</t>
        </is>
      </c>
      <c r="C38" s="15" t="n">
        <v>23</v>
      </c>
      <c r="D38" s="16" t="n">
        <v>28605.29</v>
      </c>
      <c r="E38" s="15" t="n">
        <v>19</v>
      </c>
      <c r="F38" s="16" t="n">
        <v>24306.48</v>
      </c>
      <c r="G38" s="15" t="n">
        <v>24</v>
      </c>
      <c r="H38" s="16" t="n">
        <v>30809.39</v>
      </c>
      <c r="I38" s="43" t="n">
        <v>350</v>
      </c>
      <c r="J38" s="37" t="n">
        <v>0</v>
      </c>
      <c r="K38" s="37" t="n">
        <v>0</v>
      </c>
      <c r="L38" s="36" t="n">
        <v>750</v>
      </c>
      <c r="M38" s="44" t="n">
        <v>750</v>
      </c>
      <c r="N38" s="44" t="n">
        <v>400</v>
      </c>
    </row>
    <row r="39" ht="22" customHeight="1">
      <c r="A39" s="25" t="inlineStr">
        <is>
          <t>Monica Valdes</t>
        </is>
      </c>
      <c r="B39" s="14" t="inlineStr">
        <is>
          <t>February</t>
        </is>
      </c>
      <c r="C39" s="15" t="n">
        <v>21</v>
      </c>
      <c r="D39" s="16" t="n">
        <v>31516.95</v>
      </c>
      <c r="E39" s="15" t="n">
        <v>15</v>
      </c>
      <c r="F39" s="16" t="n">
        <v>23614.09</v>
      </c>
      <c r="G39" s="15" t="n">
        <v>16</v>
      </c>
      <c r="H39" s="16" t="n">
        <v>26706.09</v>
      </c>
      <c r="I39" s="43" t="n">
        <v>350</v>
      </c>
      <c r="J39" s="37" t="n">
        <v>0</v>
      </c>
      <c r="K39" s="37" t="n">
        <v>0</v>
      </c>
      <c r="L39" s="36" t="n">
        <v>750</v>
      </c>
      <c r="M39" s="44" t="n">
        <v>750</v>
      </c>
      <c r="N39" s="44" t="n">
        <v>400</v>
      </c>
    </row>
    <row r="40" ht="22" customHeight="1">
      <c r="A40" s="25" t="inlineStr">
        <is>
          <t>Dialinerys Dieguez</t>
        </is>
      </c>
      <c r="B40" s="14" t="inlineStr">
        <is>
          <t>February</t>
        </is>
      </c>
      <c r="C40" s="15" t="n">
        <v>23</v>
      </c>
      <c r="D40" s="16" t="n">
        <v>30057.89</v>
      </c>
      <c r="E40" s="15" t="n">
        <v>28</v>
      </c>
      <c r="F40" s="16" t="n">
        <v>42772.3</v>
      </c>
      <c r="G40" s="15" t="n">
        <v>37</v>
      </c>
      <c r="H40" s="16" t="n">
        <v>54401.98</v>
      </c>
      <c r="I40" s="43" t="n">
        <v>460</v>
      </c>
      <c r="J40" s="37" t="n">
        <v>0</v>
      </c>
      <c r="K40" s="37" t="n">
        <v>0</v>
      </c>
      <c r="L40" s="36" t="n">
        <v>850</v>
      </c>
      <c r="M40" s="44" t="n">
        <v>850</v>
      </c>
      <c r="N40" s="44" t="n">
        <v>390</v>
      </c>
    </row>
    <row r="41" ht="22" customHeight="1">
      <c r="A41" s="25" t="inlineStr">
        <is>
          <t>Melissa Hernandez</t>
        </is>
      </c>
      <c r="B41" s="14" t="inlineStr">
        <is>
          <t>March</t>
        </is>
      </c>
      <c r="C41" s="15" t="n">
        <v>28</v>
      </c>
      <c r="D41" s="16" t="n">
        <v>39759.7</v>
      </c>
      <c r="E41" s="15" t="n">
        <v>24</v>
      </c>
      <c r="F41" s="16" t="n">
        <v>28430.3</v>
      </c>
      <c r="G41" s="15" t="n">
        <v>25</v>
      </c>
      <c r="H41" s="16" t="n">
        <v>29464.3</v>
      </c>
      <c r="I41" s="43" t="n">
        <v>470</v>
      </c>
      <c r="J41" s="37" t="n">
        <v>0</v>
      </c>
      <c r="K41" s="37" t="n">
        <v>0</v>
      </c>
      <c r="L41" s="36" t="n">
        <v>750</v>
      </c>
      <c r="M41" s="44" t="n">
        <v>750</v>
      </c>
      <c r="N41" s="44" t="n">
        <v>280</v>
      </c>
    </row>
    <row r="42" ht="22" customHeight="1">
      <c r="A42" s="25" t="inlineStr">
        <is>
          <t>Melissa Hernandez</t>
        </is>
      </c>
      <c r="B42" s="14" t="inlineStr">
        <is>
          <t>January</t>
        </is>
      </c>
      <c r="C42" s="15" t="n">
        <v>31</v>
      </c>
      <c r="D42" s="16" t="n">
        <v>37039</v>
      </c>
      <c r="E42" s="15" t="n">
        <v>24</v>
      </c>
      <c r="F42" s="16" t="n">
        <v>31687.25</v>
      </c>
      <c r="G42" s="15" t="n">
        <v>24</v>
      </c>
      <c r="H42" s="16" t="n">
        <v>31687.25</v>
      </c>
      <c r="I42" s="43" t="n">
        <v>500</v>
      </c>
      <c r="J42" s="37" t="n">
        <v>0</v>
      </c>
      <c r="K42" s="37" t="n">
        <v>0</v>
      </c>
      <c r="L42" s="36" t="n">
        <v>750</v>
      </c>
      <c r="M42" s="44" t="n">
        <v>750</v>
      </c>
      <c r="N42" s="44" t="n">
        <v>250</v>
      </c>
    </row>
    <row r="43" ht="22" customHeight="1">
      <c r="A43" s="25" t="inlineStr">
        <is>
          <t>Abel Guaina</t>
        </is>
      </c>
      <c r="B43" s="14" t="inlineStr">
        <is>
          <t>February</t>
        </is>
      </c>
      <c r="C43" s="15" t="n">
        <v>13</v>
      </c>
      <c r="D43" s="16" t="n">
        <v>25367</v>
      </c>
      <c r="E43" s="15" t="n">
        <v>9</v>
      </c>
      <c r="F43" s="16" t="n">
        <v>15321.5</v>
      </c>
      <c r="G43" s="15" t="n">
        <v>17</v>
      </c>
      <c r="H43" s="16" t="n">
        <v>22838.5</v>
      </c>
      <c r="I43" s="43" t="n">
        <v>0</v>
      </c>
      <c r="J43" s="37" t="n">
        <v>0</v>
      </c>
      <c r="K43" s="37" t="n">
        <v>0</v>
      </c>
      <c r="L43" s="37" t="n">
        <v>0</v>
      </c>
      <c r="M43" s="45" t="n">
        <v>0</v>
      </c>
      <c r="N43" s="48" t="n">
        <v>0</v>
      </c>
    </row>
    <row r="44" ht="22" customHeight="1">
      <c r="A44" s="25" t="inlineStr">
        <is>
          <t>Thalia Rojas</t>
        </is>
      </c>
      <c r="B44" s="14" t="inlineStr">
        <is>
          <t>January</t>
        </is>
      </c>
      <c r="C44" s="15" t="n">
        <v>10</v>
      </c>
      <c r="D44" s="16" t="n">
        <v>15503.9</v>
      </c>
      <c r="E44" s="15" t="n">
        <v>14</v>
      </c>
      <c r="F44" s="16" t="n">
        <v>16541.965</v>
      </c>
      <c r="G44" s="15" t="n">
        <v>18</v>
      </c>
      <c r="H44" s="16" t="n">
        <v>20231.965</v>
      </c>
      <c r="I44" s="43" t="n">
        <v>0</v>
      </c>
      <c r="J44" s="37" t="n">
        <v>0</v>
      </c>
      <c r="K44" s="37" t="n">
        <v>0</v>
      </c>
      <c r="L44" s="37" t="n">
        <v>0</v>
      </c>
      <c r="M44" s="45" t="n">
        <v>0</v>
      </c>
      <c r="N44" s="48" t="n">
        <v>0</v>
      </c>
    </row>
    <row r="45" ht="22" customHeight="1">
      <c r="A45" s="25" t="inlineStr">
        <is>
          <t>Thalia Rojas</t>
        </is>
      </c>
      <c r="B45" s="14" t="inlineStr">
        <is>
          <t>February</t>
        </is>
      </c>
      <c r="C45" s="15" t="n">
        <v>14</v>
      </c>
      <c r="D45" s="16" t="n">
        <v>19414.25</v>
      </c>
      <c r="E45" s="15" t="n">
        <v>12</v>
      </c>
      <c r="F45" s="16" t="n">
        <v>14149.08</v>
      </c>
      <c r="G45" s="15" t="n">
        <v>17</v>
      </c>
      <c r="H45" s="16" t="n">
        <v>21595.08</v>
      </c>
      <c r="I45" s="43" t="n">
        <v>0</v>
      </c>
      <c r="J45" s="37" t="n">
        <v>0</v>
      </c>
      <c r="K45" s="37" t="n">
        <v>0</v>
      </c>
      <c r="L45" s="37" t="n">
        <v>0</v>
      </c>
      <c r="M45" s="45" t="n">
        <v>0</v>
      </c>
      <c r="N45" s="48" t="n">
        <v>0</v>
      </c>
    </row>
    <row r="46" ht="22" customHeight="1">
      <c r="A46" s="25" t="inlineStr">
        <is>
          <t>Thalia Rojas</t>
        </is>
      </c>
      <c r="B46" s="14" t="inlineStr">
        <is>
          <t>March</t>
        </is>
      </c>
      <c r="C46" s="15" t="n">
        <v>19</v>
      </c>
      <c r="D46" s="16" t="n">
        <v>17843.69</v>
      </c>
      <c r="E46" s="15" t="n">
        <v>9</v>
      </c>
      <c r="F46" s="16" t="n">
        <v>9920.424999999999</v>
      </c>
      <c r="G46" s="15" t="n">
        <v>16</v>
      </c>
      <c r="H46" s="16" t="n">
        <v>15564.325</v>
      </c>
      <c r="I46" s="43" t="n">
        <v>0</v>
      </c>
      <c r="J46" s="37" t="n">
        <v>0</v>
      </c>
      <c r="K46" s="37" t="n">
        <v>0</v>
      </c>
      <c r="L46" s="37" t="n">
        <v>0</v>
      </c>
      <c r="M46" s="45" t="n">
        <v>0</v>
      </c>
      <c r="N46" s="48" t="n">
        <v>0</v>
      </c>
    </row>
    <row r="47" ht="22" customHeight="1">
      <c r="A47" s="25" t="inlineStr">
        <is>
          <t>Thalia Rojas</t>
        </is>
      </c>
      <c r="B47" s="14" t="inlineStr">
        <is>
          <t>April</t>
        </is>
      </c>
      <c r="C47" s="15" t="n">
        <v>9</v>
      </c>
      <c r="D47" s="16" t="n">
        <v>14099</v>
      </c>
      <c r="E47" s="15" t="n">
        <v>15</v>
      </c>
      <c r="F47" s="16" t="n">
        <v>19897.2</v>
      </c>
      <c r="G47" s="15" t="n">
        <v>17</v>
      </c>
      <c r="H47" s="16" t="n">
        <v>23514.2</v>
      </c>
      <c r="I47" s="43" t="n">
        <v>0</v>
      </c>
      <c r="J47" s="37" t="n">
        <v>0</v>
      </c>
      <c r="K47" s="37" t="n">
        <v>0</v>
      </c>
      <c r="L47" s="37" t="n">
        <v>0</v>
      </c>
      <c r="M47" s="45" t="n">
        <v>0</v>
      </c>
      <c r="N47" s="48" t="n">
        <v>0</v>
      </c>
    </row>
    <row r="48" ht="22" customHeight="1">
      <c r="A48" s="25" t="inlineStr">
        <is>
          <t>Monica Valdes</t>
        </is>
      </c>
      <c r="B48" s="14" t="inlineStr">
        <is>
          <t>March</t>
        </is>
      </c>
      <c r="C48" s="15" t="n">
        <v>36</v>
      </c>
      <c r="D48" s="16" t="n">
        <v>68546.22</v>
      </c>
      <c r="E48" s="15" t="n">
        <v>14</v>
      </c>
      <c r="F48" s="16" t="n">
        <v>19627.325</v>
      </c>
      <c r="G48" s="15" t="n">
        <v>14</v>
      </c>
      <c r="H48" s="16" t="n">
        <v>19627.325</v>
      </c>
      <c r="I48" s="43" t="n">
        <v>450</v>
      </c>
      <c r="J48" s="36" t="n">
        <v>375</v>
      </c>
      <c r="K48" s="37" t="n">
        <v>0</v>
      </c>
      <c r="L48" s="37" t="n">
        <v>0</v>
      </c>
      <c r="M48" s="44" t="n">
        <v>375</v>
      </c>
      <c r="N48" s="45" t="n">
        <v>-75</v>
      </c>
    </row>
    <row r="49" ht="22" customHeight="1">
      <c r="A49" s="25" t="inlineStr">
        <is>
          <t>Abel Guaina</t>
        </is>
      </c>
      <c r="B49" s="14" t="inlineStr">
        <is>
          <t>March</t>
        </is>
      </c>
      <c r="C49" s="15" t="n">
        <v>30</v>
      </c>
      <c r="D49" s="16" t="n">
        <v>46523.37</v>
      </c>
      <c r="E49" s="15" t="n">
        <v>9</v>
      </c>
      <c r="F49" s="16" t="n">
        <v>12613.8</v>
      </c>
      <c r="G49" s="15" t="n">
        <v>13</v>
      </c>
      <c r="H49" s="16" t="n">
        <v>16514.8</v>
      </c>
      <c r="I49" s="43" t="n">
        <v>350</v>
      </c>
      <c r="J49" s="36" t="n">
        <v>250</v>
      </c>
      <c r="K49" s="37" t="n">
        <v>0</v>
      </c>
      <c r="L49" s="37" t="n">
        <v>0</v>
      </c>
      <c r="M49" s="44" t="n">
        <v>250</v>
      </c>
      <c r="N49" s="45" t="n">
        <v>-100</v>
      </c>
    </row>
    <row r="50" ht="22" customHeight="1">
      <c r="A50" s="25" t="inlineStr">
        <is>
          <t>Abel Guaina</t>
        </is>
      </c>
      <c r="B50" s="14" t="inlineStr">
        <is>
          <t>January</t>
        </is>
      </c>
      <c r="C50" s="15" t="n">
        <v>25</v>
      </c>
      <c r="D50" s="16" t="n">
        <v>38611.42</v>
      </c>
      <c r="E50" s="15" t="n">
        <v>9</v>
      </c>
      <c r="F50" s="16" t="n">
        <v>13759.25</v>
      </c>
      <c r="G50" s="15" t="n">
        <v>17</v>
      </c>
      <c r="H50" s="16" t="n">
        <v>21364.25</v>
      </c>
      <c r="I50" s="43" t="n">
        <v>250</v>
      </c>
      <c r="J50" s="37" t="n">
        <v>0</v>
      </c>
      <c r="K50" s="37" t="n">
        <v>0</v>
      </c>
      <c r="L50" s="37" t="n">
        <v>0</v>
      </c>
      <c r="M50" s="45" t="n">
        <v>0</v>
      </c>
      <c r="N50" s="45" t="n">
        <v>-250</v>
      </c>
    </row>
    <row r="51" ht="22" customHeight="1">
      <c r="A51" s="25" t="inlineStr">
        <is>
          <t>Abel Guaina</t>
        </is>
      </c>
      <c r="B51" s="14" t="inlineStr">
        <is>
          <t>April</t>
        </is>
      </c>
      <c r="C51" s="15" t="n">
        <v>27</v>
      </c>
      <c r="D51" s="16" t="n">
        <v>37825.93</v>
      </c>
      <c r="E51" s="15" t="n">
        <v>7</v>
      </c>
      <c r="F51" s="16" t="n">
        <v>7680.975</v>
      </c>
      <c r="G51" s="15" t="n">
        <v>21</v>
      </c>
      <c r="H51" s="16" t="n">
        <v>18616.965</v>
      </c>
      <c r="I51" s="43" t="n">
        <v>250</v>
      </c>
      <c r="J51" s="37" t="n">
        <v>0</v>
      </c>
      <c r="K51" s="37" t="n">
        <v>0</v>
      </c>
      <c r="L51" s="37" t="n">
        <v>0</v>
      </c>
      <c r="M51" s="45" t="n">
        <v>0</v>
      </c>
      <c r="N51" s="45" t="n">
        <v>-250</v>
      </c>
    </row>
    <row r="52" ht="22" customHeight="1">
      <c r="A52" s="25" t="inlineStr">
        <is>
          <t>Melissa Hernandez</t>
        </is>
      </c>
      <c r="B52" s="14" t="inlineStr">
        <is>
          <t>April</t>
        </is>
      </c>
      <c r="C52" s="15" t="n">
        <v>15</v>
      </c>
      <c r="D52" s="16" t="n">
        <v>19288.35</v>
      </c>
      <c r="E52" s="15" t="n">
        <v>19</v>
      </c>
      <c r="F52" s="16" t="n">
        <v>21698.1</v>
      </c>
      <c r="G52" s="15" t="n">
        <v>18</v>
      </c>
      <c r="H52" s="16" t="n">
        <v>21698.1</v>
      </c>
      <c r="I52" s="43" t="n">
        <v>250</v>
      </c>
      <c r="J52" s="37" t="n">
        <v>0</v>
      </c>
      <c r="K52" s="37" t="n">
        <v>0</v>
      </c>
      <c r="L52" s="37" t="n">
        <v>0</v>
      </c>
      <c r="M52" s="45" t="n">
        <v>0</v>
      </c>
      <c r="N52" s="45" t="n">
        <v>-250</v>
      </c>
    </row>
    <row r="53" ht="22" customHeight="1">
      <c r="A53" s="25" t="inlineStr">
        <is>
          <t>Monica Valdes</t>
        </is>
      </c>
      <c r="B53" s="14" t="inlineStr">
        <is>
          <t>April</t>
        </is>
      </c>
      <c r="C53" s="15" t="n">
        <v>22</v>
      </c>
      <c r="D53" s="16" t="n">
        <v>29755.49</v>
      </c>
      <c r="E53" s="15" t="n">
        <v>11</v>
      </c>
      <c r="F53" s="16" t="n">
        <v>17639.95</v>
      </c>
      <c r="G53" s="15" t="n">
        <v>13</v>
      </c>
      <c r="H53" s="16" t="n">
        <v>20153.95</v>
      </c>
      <c r="I53" s="43" t="n">
        <v>250</v>
      </c>
      <c r="J53" s="37" t="n">
        <v>0</v>
      </c>
      <c r="K53" s="37" t="n">
        <v>0</v>
      </c>
      <c r="L53" s="37" t="n">
        <v>0</v>
      </c>
      <c r="M53" s="45" t="n">
        <v>0</v>
      </c>
      <c r="N53" s="45" t="n">
        <v>-250</v>
      </c>
    </row>
    <row r="54" ht="22" customHeight="1">
      <c r="A54" s="25" t="inlineStr">
        <is>
          <t>Flavia Parra</t>
        </is>
      </c>
      <c r="B54" s="14" t="inlineStr">
        <is>
          <t>January</t>
        </is>
      </c>
      <c r="C54" s="15" t="n">
        <v>19</v>
      </c>
      <c r="D54" s="16" t="n">
        <v>28525.05</v>
      </c>
      <c r="E54" s="15" t="n">
        <v>17</v>
      </c>
      <c r="F54" s="16" t="n">
        <v>19779.025</v>
      </c>
      <c r="G54" s="15" t="n">
        <v>19</v>
      </c>
      <c r="H54" s="16" t="n">
        <v>21243.375</v>
      </c>
      <c r="I54" s="43" t="n">
        <v>350</v>
      </c>
      <c r="J54" s="37" t="n">
        <v>0</v>
      </c>
      <c r="K54" s="37" t="n">
        <v>0</v>
      </c>
      <c r="L54" s="37" t="n">
        <v>0</v>
      </c>
      <c r="M54" s="45" t="n">
        <v>0</v>
      </c>
      <c r="N54" s="45" t="n">
        <v>-350</v>
      </c>
    </row>
    <row r="55" ht="22" customHeight="1">
      <c r="A55" s="25" t="inlineStr">
        <is>
          <t>Flavia Parra</t>
        </is>
      </c>
      <c r="B55" s="14" t="inlineStr">
        <is>
          <t>February</t>
        </is>
      </c>
      <c r="C55" s="15" t="n">
        <v>23</v>
      </c>
      <c r="D55" s="16" t="n">
        <v>22247.7</v>
      </c>
      <c r="E55" s="15" t="n">
        <v>21</v>
      </c>
      <c r="F55" s="16" t="n">
        <v>21843.725</v>
      </c>
      <c r="G55" s="15" t="n">
        <v>23</v>
      </c>
      <c r="H55" s="16" t="n">
        <v>23942.725</v>
      </c>
      <c r="I55" s="43" t="n">
        <v>350</v>
      </c>
      <c r="J55" s="37" t="n">
        <v>0</v>
      </c>
      <c r="K55" s="37" t="n">
        <v>0</v>
      </c>
      <c r="L55" s="37" t="n">
        <v>0</v>
      </c>
      <c r="M55" s="45" t="n">
        <v>0</v>
      </c>
      <c r="N55" s="45" t="n">
        <v>-350</v>
      </c>
    </row>
    <row r="56" ht="22" customHeight="1">
      <c r="A56" s="25" t="inlineStr">
        <is>
          <t>Flavia Parra</t>
        </is>
      </c>
      <c r="B56" s="14" t="inlineStr">
        <is>
          <t>March</t>
        </is>
      </c>
      <c r="C56" s="15" t="n">
        <v>27</v>
      </c>
      <c r="D56" s="16" t="n">
        <v>31269</v>
      </c>
      <c r="E56" s="15" t="n">
        <v>13</v>
      </c>
      <c r="F56" s="16" t="n">
        <v>11763.35</v>
      </c>
      <c r="G56" s="15" t="n">
        <v>14</v>
      </c>
      <c r="H56" s="16" t="n">
        <v>11763.35</v>
      </c>
      <c r="I56" s="43" t="n">
        <v>350</v>
      </c>
      <c r="J56" s="37" t="n">
        <v>0</v>
      </c>
      <c r="K56" s="37" t="n">
        <v>0</v>
      </c>
      <c r="L56" s="37" t="n">
        <v>0</v>
      </c>
      <c r="M56" s="45" t="n">
        <v>0</v>
      </c>
      <c r="N56" s="45" t="n">
        <v>-350</v>
      </c>
    </row>
    <row r="57" ht="22" customHeight="1">
      <c r="A57" s="25" t="inlineStr">
        <is>
          <t>Flavia Parra</t>
        </is>
      </c>
      <c r="B57" s="14" t="inlineStr">
        <is>
          <t>April</t>
        </is>
      </c>
      <c r="C57" s="15" t="n">
        <v>23</v>
      </c>
      <c r="D57" s="16" t="n">
        <v>29581.05</v>
      </c>
      <c r="E57" s="15" t="n">
        <v>15</v>
      </c>
      <c r="F57" s="16" t="n">
        <v>15416.38</v>
      </c>
      <c r="G57" s="15" t="n">
        <v>17</v>
      </c>
      <c r="H57" s="16" t="n">
        <v>16301.38</v>
      </c>
      <c r="I57" s="43" t="n">
        <v>350</v>
      </c>
      <c r="J57" s="37" t="n">
        <v>0</v>
      </c>
      <c r="K57" s="37" t="n">
        <v>0</v>
      </c>
      <c r="L57" s="37" t="n">
        <v>0</v>
      </c>
      <c r="M57" s="45" t="n">
        <v>0</v>
      </c>
      <c r="N57" s="45" t="n">
        <v>-350</v>
      </c>
    </row>
    <row r="58" ht="28" customHeight="1">
      <c r="A58" s="18" t="inlineStr">
        <is>
          <t>4-MONTH TOTAL (all 6 agents)</t>
        </is>
      </c>
      <c r="B58" s="41" t="n"/>
      <c r="C58" s="41" t="n"/>
      <c r="D58" s="41" t="n"/>
      <c r="E58" s="41" t="n"/>
      <c r="F58" s="41" t="n"/>
      <c r="G58" s="41" t="n"/>
      <c r="H58" s="41" t="n"/>
      <c r="I58" s="46" t="n">
        <v>7110</v>
      </c>
      <c r="J58" s="41" t="n"/>
      <c r="K58" s="41" t="n"/>
      <c r="L58" s="41" t="n"/>
      <c r="M58" s="47" t="n">
        <v>8375</v>
      </c>
      <c r="N58" s="44" t="n">
        <v>1265</v>
      </c>
    </row>
    <row r="60" ht="22" customHeight="1">
      <c r="A60" s="5" t="inlineStr">
        <is>
          <t>SCENARIO 3: 100% FLIP (RWR fully -&gt; REN)</t>
        </is>
      </c>
    </row>
    <row r="61" ht="26" customHeight="1">
      <c r="A61" s="6" t="inlineStr">
        <is>
          <t>Agent</t>
        </is>
      </c>
      <c r="B61" s="6" t="inlineStr">
        <is>
          <t>Month</t>
        </is>
      </c>
      <c r="C61" s="6" t="inlineStr">
        <is>
          <t>NB #</t>
        </is>
      </c>
      <c r="D61" s="6" t="inlineStr">
        <is>
          <t>NB $</t>
        </is>
      </c>
      <c r="E61" s="6" t="inlineStr">
        <is>
          <t>RWR #</t>
        </is>
      </c>
      <c r="F61" s="6" t="inlineStr">
        <is>
          <t>RWR $</t>
        </is>
      </c>
      <c r="G61" s="6" t="inlineStr">
        <is>
          <t>REN #</t>
        </is>
      </c>
      <c r="H61" s="6" t="inlineStr">
        <is>
          <t>REN $</t>
        </is>
      </c>
      <c r="I61" s="6" t="inlineStr">
        <is>
          <t>CURRENT bonus (today)</t>
        </is>
      </c>
      <c r="J61" s="6" t="inlineStr">
        <is>
          <t>NB Bonus</t>
        </is>
      </c>
      <c r="K61" s="6" t="inlineStr">
        <is>
          <t>RWR Bonus</t>
        </is>
      </c>
      <c r="L61" s="6" t="inlineStr">
        <is>
          <t>REN Bonus</t>
        </is>
      </c>
      <c r="M61" s="6" t="inlineStr">
        <is>
          <t>NEW TOTAL</t>
        </is>
      </c>
      <c r="N61" s="6" t="inlineStr">
        <is>
          <t>DELTA (new - current)</t>
        </is>
      </c>
    </row>
    <row r="62" ht="22" customHeight="1">
      <c r="A62" s="25" t="inlineStr">
        <is>
          <t>Dialinerys Dieguez</t>
        </is>
      </c>
      <c r="B62" s="14" t="inlineStr">
        <is>
          <t>March</t>
        </is>
      </c>
      <c r="C62" s="15" t="n">
        <v>38</v>
      </c>
      <c r="D62" s="16" t="n">
        <v>52434.9</v>
      </c>
      <c r="E62" s="15" t="n">
        <v>7</v>
      </c>
      <c r="F62" s="16" t="n">
        <v>5962.5</v>
      </c>
      <c r="G62" s="15" t="n">
        <v>69</v>
      </c>
      <c r="H62" s="16" t="n">
        <v>96228.35000000001</v>
      </c>
      <c r="I62" s="43" t="n">
        <v>350</v>
      </c>
      <c r="J62" s="36" t="n">
        <v>250</v>
      </c>
      <c r="K62" s="37" t="n">
        <v>0</v>
      </c>
      <c r="L62" s="36" t="n">
        <v>1050</v>
      </c>
      <c r="M62" s="44" t="n">
        <v>1300</v>
      </c>
      <c r="N62" s="44" t="n">
        <v>950</v>
      </c>
    </row>
    <row r="63" ht="22" customHeight="1">
      <c r="A63" s="25" t="inlineStr">
        <is>
          <t>Melissa Hernandez</t>
        </is>
      </c>
      <c r="B63" s="14" t="inlineStr">
        <is>
          <t>February</t>
        </is>
      </c>
      <c r="C63" s="15" t="n">
        <v>13</v>
      </c>
      <c r="D63" s="16" t="n">
        <v>7659.5</v>
      </c>
      <c r="E63" s="15" t="n">
        <v>1</v>
      </c>
      <c r="F63" s="16" t="n">
        <v>1063</v>
      </c>
      <c r="G63" s="15" t="n">
        <v>37</v>
      </c>
      <c r="H63" s="16" t="n">
        <v>49990.7</v>
      </c>
      <c r="I63" s="43" t="n">
        <v>0</v>
      </c>
      <c r="J63" s="37" t="n">
        <v>0</v>
      </c>
      <c r="K63" s="37" t="n">
        <v>0</v>
      </c>
      <c r="L63" s="36" t="n">
        <v>850</v>
      </c>
      <c r="M63" s="44" t="n">
        <v>850</v>
      </c>
      <c r="N63" s="44" t="n">
        <v>850</v>
      </c>
    </row>
    <row r="64" ht="22" customHeight="1">
      <c r="A64" s="25" t="inlineStr">
        <is>
          <t>Melissa Hernandez</t>
        </is>
      </c>
      <c r="B64" s="14" t="inlineStr">
        <is>
          <t>March</t>
        </is>
      </c>
      <c r="C64" s="15" t="n">
        <v>28</v>
      </c>
      <c r="D64" s="16" t="n">
        <v>39759.7</v>
      </c>
      <c r="E64" s="15" t="n">
        <v>1</v>
      </c>
      <c r="F64" s="16" t="n">
        <v>1034</v>
      </c>
      <c r="G64" s="15" t="n">
        <v>48</v>
      </c>
      <c r="H64" s="16" t="n">
        <v>56860.6</v>
      </c>
      <c r="I64" s="43" t="n">
        <v>0</v>
      </c>
      <c r="J64" s="37" t="n">
        <v>0</v>
      </c>
      <c r="K64" s="37" t="n">
        <v>0</v>
      </c>
      <c r="L64" s="36" t="n">
        <v>850</v>
      </c>
      <c r="M64" s="44" t="n">
        <v>850</v>
      </c>
      <c r="N64" s="44" t="n">
        <v>850</v>
      </c>
    </row>
    <row r="65" ht="22" customHeight="1">
      <c r="A65" s="25" t="inlineStr">
        <is>
          <t>Melissa Hernandez</t>
        </is>
      </c>
      <c r="B65" s="14" t="inlineStr">
        <is>
          <t>April</t>
        </is>
      </c>
      <c r="C65" s="15" t="n">
        <v>15</v>
      </c>
      <c r="D65" s="16" t="n">
        <v>19288.35</v>
      </c>
      <c r="E65" s="15" t="n">
        <v>0</v>
      </c>
      <c r="F65" s="16" t="n">
        <v>0</v>
      </c>
      <c r="G65" s="15" t="n">
        <v>37</v>
      </c>
      <c r="H65" s="16" t="n">
        <v>43396.2</v>
      </c>
      <c r="I65" s="43" t="n">
        <v>0</v>
      </c>
      <c r="J65" s="37" t="n">
        <v>0</v>
      </c>
      <c r="K65" s="37" t="n">
        <v>0</v>
      </c>
      <c r="L65" s="36" t="n">
        <v>850</v>
      </c>
      <c r="M65" s="44" t="n">
        <v>850</v>
      </c>
      <c r="N65" s="44" t="n">
        <v>850</v>
      </c>
    </row>
    <row r="66" ht="22" customHeight="1">
      <c r="A66" s="25" t="inlineStr">
        <is>
          <t>Flavia Parra</t>
        </is>
      </c>
      <c r="B66" s="14" t="inlineStr">
        <is>
          <t>February</t>
        </is>
      </c>
      <c r="C66" s="15" t="n">
        <v>23</v>
      </c>
      <c r="D66" s="16" t="n">
        <v>22247.7</v>
      </c>
      <c r="E66" s="15" t="n">
        <v>2</v>
      </c>
      <c r="F66" s="16" t="n">
        <v>2099</v>
      </c>
      <c r="G66" s="15" t="n">
        <v>42</v>
      </c>
      <c r="H66" s="16" t="n">
        <v>43687.45</v>
      </c>
      <c r="I66" s="43" t="n">
        <v>0</v>
      </c>
      <c r="J66" s="37" t="n">
        <v>0</v>
      </c>
      <c r="K66" s="37" t="n">
        <v>0</v>
      </c>
      <c r="L66" s="36" t="n">
        <v>850</v>
      </c>
      <c r="M66" s="44" t="n">
        <v>850</v>
      </c>
      <c r="N66" s="44" t="n">
        <v>850</v>
      </c>
    </row>
    <row r="67" ht="22" customHeight="1">
      <c r="A67" s="25" t="inlineStr">
        <is>
          <t>Monica Valdes</t>
        </is>
      </c>
      <c r="B67" s="14" t="inlineStr">
        <is>
          <t>January</t>
        </is>
      </c>
      <c r="C67" s="15" t="n">
        <v>23</v>
      </c>
      <c r="D67" s="16" t="n">
        <v>28605.29</v>
      </c>
      <c r="E67" s="15" t="n">
        <v>6</v>
      </c>
      <c r="F67" s="16" t="n">
        <v>6502.91</v>
      </c>
      <c r="G67" s="15" t="n">
        <v>37</v>
      </c>
      <c r="H67" s="16" t="n">
        <v>48612.96</v>
      </c>
      <c r="I67" s="43" t="n">
        <v>0</v>
      </c>
      <c r="J67" s="37" t="n">
        <v>0</v>
      </c>
      <c r="K67" s="37" t="n">
        <v>0</v>
      </c>
      <c r="L67" s="36" t="n">
        <v>850</v>
      </c>
      <c r="M67" s="44" t="n">
        <v>850</v>
      </c>
      <c r="N67" s="44" t="n">
        <v>850</v>
      </c>
    </row>
    <row r="68" ht="22" customHeight="1">
      <c r="A68" s="25" t="inlineStr">
        <is>
          <t>Monica Valdes</t>
        </is>
      </c>
      <c r="B68" s="14" t="inlineStr">
        <is>
          <t>February</t>
        </is>
      </c>
      <c r="C68" s="15" t="n">
        <v>21</v>
      </c>
      <c r="D68" s="16" t="n">
        <v>31516.95</v>
      </c>
      <c r="E68" s="15" t="n">
        <v>2</v>
      </c>
      <c r="F68" s="16" t="n">
        <v>3092</v>
      </c>
      <c r="G68" s="15" t="n">
        <v>29</v>
      </c>
      <c r="H68" s="16" t="n">
        <v>47228.18</v>
      </c>
      <c r="I68" s="43" t="n">
        <v>0</v>
      </c>
      <c r="J68" s="37" t="n">
        <v>0</v>
      </c>
      <c r="K68" s="37" t="n">
        <v>0</v>
      </c>
      <c r="L68" s="36" t="n">
        <v>850</v>
      </c>
      <c r="M68" s="44" t="n">
        <v>850</v>
      </c>
      <c r="N68" s="44" t="n">
        <v>850</v>
      </c>
    </row>
    <row r="69" ht="22" customHeight="1">
      <c r="A69" s="25" t="inlineStr">
        <is>
          <t>Dialinerys Dieguez</t>
        </is>
      </c>
      <c r="B69" s="14" t="inlineStr">
        <is>
          <t>February</t>
        </is>
      </c>
      <c r="C69" s="15" t="n">
        <v>23</v>
      </c>
      <c r="D69" s="16" t="n">
        <v>30057.89</v>
      </c>
      <c r="E69" s="15" t="n">
        <v>9</v>
      </c>
      <c r="F69" s="16" t="n">
        <v>11629.68</v>
      </c>
      <c r="G69" s="15" t="n">
        <v>56</v>
      </c>
      <c r="H69" s="16" t="n">
        <v>85544.60000000001</v>
      </c>
      <c r="I69" s="43" t="n">
        <v>250</v>
      </c>
      <c r="J69" s="37" t="n">
        <v>0</v>
      </c>
      <c r="K69" s="37" t="n">
        <v>0</v>
      </c>
      <c r="L69" s="36" t="n">
        <v>1050</v>
      </c>
      <c r="M69" s="44" t="n">
        <v>1050</v>
      </c>
      <c r="N69" s="44" t="n">
        <v>800</v>
      </c>
    </row>
    <row r="70" ht="22" customHeight="1">
      <c r="A70" s="25" t="inlineStr">
        <is>
          <t>Monica Valdes</t>
        </is>
      </c>
      <c r="B70" s="14" t="inlineStr">
        <is>
          <t>March</t>
        </is>
      </c>
      <c r="C70" s="15" t="n">
        <v>36</v>
      </c>
      <c r="D70" s="16" t="n">
        <v>68546.22</v>
      </c>
      <c r="E70" s="15" t="n">
        <v>0</v>
      </c>
      <c r="F70" s="16" t="n">
        <v>0</v>
      </c>
      <c r="G70" s="15" t="n">
        <v>28</v>
      </c>
      <c r="H70" s="16" t="n">
        <v>39254.65</v>
      </c>
      <c r="I70" s="43" t="n">
        <v>350</v>
      </c>
      <c r="J70" s="36" t="n">
        <v>375</v>
      </c>
      <c r="K70" s="37" t="n">
        <v>0</v>
      </c>
      <c r="L70" s="36" t="n">
        <v>750</v>
      </c>
      <c r="M70" s="44" t="n">
        <v>1125</v>
      </c>
      <c r="N70" s="44" t="n">
        <v>775</v>
      </c>
    </row>
    <row r="71" ht="22" customHeight="1">
      <c r="A71" s="25" t="inlineStr">
        <is>
          <t>Abel Guaina</t>
        </is>
      </c>
      <c r="B71" s="14" t="inlineStr">
        <is>
          <t>February</t>
        </is>
      </c>
      <c r="C71" s="15" t="n">
        <v>13</v>
      </c>
      <c r="D71" s="16" t="n">
        <v>25367</v>
      </c>
      <c r="E71" s="15" t="n">
        <v>7</v>
      </c>
      <c r="F71" s="16" t="n">
        <v>7517</v>
      </c>
      <c r="G71" s="15" t="n">
        <v>19</v>
      </c>
      <c r="H71" s="16" t="n">
        <v>30643</v>
      </c>
      <c r="I71" s="43" t="n">
        <v>0</v>
      </c>
      <c r="J71" s="37" t="n">
        <v>0</v>
      </c>
      <c r="K71" s="37" t="n">
        <v>0</v>
      </c>
      <c r="L71" s="36" t="n">
        <v>750</v>
      </c>
      <c r="M71" s="44" t="n">
        <v>750</v>
      </c>
      <c r="N71" s="44" t="n">
        <v>750</v>
      </c>
    </row>
    <row r="72" ht="22" customHeight="1">
      <c r="A72" s="25" t="inlineStr">
        <is>
          <t>Dialinerys Dieguez</t>
        </is>
      </c>
      <c r="B72" s="14" t="inlineStr">
        <is>
          <t>April</t>
        </is>
      </c>
      <c r="C72" s="15" t="n">
        <v>33</v>
      </c>
      <c r="D72" s="16" t="n">
        <v>49689.35</v>
      </c>
      <c r="E72" s="15" t="n">
        <v>2</v>
      </c>
      <c r="F72" s="16" t="n">
        <v>19575</v>
      </c>
      <c r="G72" s="15" t="n">
        <v>44</v>
      </c>
      <c r="H72" s="16" t="n">
        <v>64165.43</v>
      </c>
      <c r="I72" s="43" t="n">
        <v>350</v>
      </c>
      <c r="J72" s="36" t="n">
        <v>250</v>
      </c>
      <c r="K72" s="37" t="n">
        <v>0</v>
      </c>
      <c r="L72" s="36" t="n">
        <v>850</v>
      </c>
      <c r="M72" s="44" t="n">
        <v>1100</v>
      </c>
      <c r="N72" s="44" t="n">
        <v>750</v>
      </c>
    </row>
    <row r="73" ht="22" customHeight="1">
      <c r="A73" s="25" t="inlineStr">
        <is>
          <t>Flavia Parra</t>
        </is>
      </c>
      <c r="B73" s="14" t="inlineStr">
        <is>
          <t>January</t>
        </is>
      </c>
      <c r="C73" s="15" t="n">
        <v>19</v>
      </c>
      <c r="D73" s="16" t="n">
        <v>28525.05</v>
      </c>
      <c r="E73" s="15" t="n">
        <v>1</v>
      </c>
      <c r="F73" s="16" t="n">
        <v>1464.35</v>
      </c>
      <c r="G73" s="15" t="n">
        <v>35</v>
      </c>
      <c r="H73" s="16" t="n">
        <v>39558.05</v>
      </c>
      <c r="I73" s="43" t="n">
        <v>0</v>
      </c>
      <c r="J73" s="37" t="n">
        <v>0</v>
      </c>
      <c r="K73" s="37" t="n">
        <v>0</v>
      </c>
      <c r="L73" s="36" t="n">
        <v>750</v>
      </c>
      <c r="M73" s="44" t="n">
        <v>750</v>
      </c>
      <c r="N73" s="44" t="n">
        <v>750</v>
      </c>
    </row>
    <row r="74" ht="22" customHeight="1">
      <c r="A74" s="25" t="inlineStr">
        <is>
          <t>Flavia Parra</t>
        </is>
      </c>
      <c r="B74" s="14" t="inlineStr">
        <is>
          <t>April</t>
        </is>
      </c>
      <c r="C74" s="15" t="n">
        <v>23</v>
      </c>
      <c r="D74" s="16" t="n">
        <v>29581.05</v>
      </c>
      <c r="E74" s="15" t="n">
        <v>1</v>
      </c>
      <c r="F74" s="16" t="n">
        <v>885</v>
      </c>
      <c r="G74" s="15" t="n">
        <v>31</v>
      </c>
      <c r="H74" s="16" t="n">
        <v>30832.76</v>
      </c>
      <c r="I74" s="43" t="n">
        <v>0</v>
      </c>
      <c r="J74" s="37" t="n">
        <v>0</v>
      </c>
      <c r="K74" s="37" t="n">
        <v>0</v>
      </c>
      <c r="L74" s="36" t="n">
        <v>750</v>
      </c>
      <c r="M74" s="44" t="n">
        <v>750</v>
      </c>
      <c r="N74" s="44" t="n">
        <v>750</v>
      </c>
    </row>
    <row r="75" ht="22" customHeight="1">
      <c r="A75" s="25" t="inlineStr">
        <is>
          <t>Thalia Rojas</t>
        </is>
      </c>
      <c r="B75" s="14" t="inlineStr">
        <is>
          <t>January</t>
        </is>
      </c>
      <c r="C75" s="15" t="n">
        <v>10</v>
      </c>
      <c r="D75" s="16" t="n">
        <v>15503.9</v>
      </c>
      <c r="E75" s="15" t="n">
        <v>4</v>
      </c>
      <c r="F75" s="16" t="n">
        <v>3690</v>
      </c>
      <c r="G75" s="15" t="n">
        <v>28</v>
      </c>
      <c r="H75" s="16" t="n">
        <v>33083.93</v>
      </c>
      <c r="I75" s="43" t="n">
        <v>0</v>
      </c>
      <c r="J75" s="37" t="n">
        <v>0</v>
      </c>
      <c r="K75" s="37" t="n">
        <v>0</v>
      </c>
      <c r="L75" s="36" t="n">
        <v>750</v>
      </c>
      <c r="M75" s="44" t="n">
        <v>750</v>
      </c>
      <c r="N75" s="44" t="n">
        <v>750</v>
      </c>
    </row>
    <row r="76" ht="22" customHeight="1">
      <c r="A76" s="25" t="inlineStr">
        <is>
          <t>Thalia Rojas</t>
        </is>
      </c>
      <c r="B76" s="14" t="inlineStr">
        <is>
          <t>February</t>
        </is>
      </c>
      <c r="C76" s="15" t="n">
        <v>14</v>
      </c>
      <c r="D76" s="16" t="n">
        <v>19414.25</v>
      </c>
      <c r="E76" s="15" t="n">
        <v>5</v>
      </c>
      <c r="F76" s="16" t="n">
        <v>7446</v>
      </c>
      <c r="G76" s="15" t="n">
        <v>24</v>
      </c>
      <c r="H76" s="16" t="n">
        <v>28298.16</v>
      </c>
      <c r="I76" s="43" t="n">
        <v>0</v>
      </c>
      <c r="J76" s="37" t="n">
        <v>0</v>
      </c>
      <c r="K76" s="37" t="n">
        <v>0</v>
      </c>
      <c r="L76" s="36" t="n">
        <v>750</v>
      </c>
      <c r="M76" s="44" t="n">
        <v>750</v>
      </c>
      <c r="N76" s="44" t="n">
        <v>750</v>
      </c>
    </row>
    <row r="77" ht="22" customHeight="1">
      <c r="A77" s="25" t="inlineStr">
        <is>
          <t>Thalia Rojas</t>
        </is>
      </c>
      <c r="B77" s="14" t="inlineStr">
        <is>
          <t>April</t>
        </is>
      </c>
      <c r="C77" s="15" t="n">
        <v>9</v>
      </c>
      <c r="D77" s="16" t="n">
        <v>14099</v>
      </c>
      <c r="E77" s="15" t="n">
        <v>3</v>
      </c>
      <c r="F77" s="16" t="n">
        <v>3617</v>
      </c>
      <c r="G77" s="15" t="n">
        <v>29</v>
      </c>
      <c r="H77" s="16" t="n">
        <v>39794.4</v>
      </c>
      <c r="I77" s="43" t="n">
        <v>0</v>
      </c>
      <c r="J77" s="37" t="n">
        <v>0</v>
      </c>
      <c r="K77" s="37" t="n">
        <v>0</v>
      </c>
      <c r="L77" s="36" t="n">
        <v>750</v>
      </c>
      <c r="M77" s="44" t="n">
        <v>750</v>
      </c>
      <c r="N77" s="44" t="n">
        <v>750</v>
      </c>
    </row>
    <row r="78" ht="22" customHeight="1">
      <c r="A78" s="25" t="inlineStr">
        <is>
          <t>Monica Valdes</t>
        </is>
      </c>
      <c r="B78" s="14" t="inlineStr">
        <is>
          <t>April</t>
        </is>
      </c>
      <c r="C78" s="15" t="n">
        <v>22</v>
      </c>
      <c r="D78" s="16" t="n">
        <v>29755.49</v>
      </c>
      <c r="E78" s="15" t="n">
        <v>2</v>
      </c>
      <c r="F78" s="16" t="n">
        <v>2514</v>
      </c>
      <c r="G78" s="15" t="n">
        <v>22</v>
      </c>
      <c r="H78" s="16" t="n">
        <v>35279.9</v>
      </c>
      <c r="I78" s="43" t="n">
        <v>0</v>
      </c>
      <c r="J78" s="37" t="n">
        <v>0</v>
      </c>
      <c r="K78" s="37" t="n">
        <v>0</v>
      </c>
      <c r="L78" s="36" t="n">
        <v>750</v>
      </c>
      <c r="M78" s="44" t="n">
        <v>750</v>
      </c>
      <c r="N78" s="44" t="n">
        <v>750</v>
      </c>
    </row>
    <row r="79" ht="22" customHeight="1">
      <c r="A79" s="25" t="inlineStr">
        <is>
          <t>Dialinerys Dieguez</t>
        </is>
      </c>
      <c r="B79" s="14" t="inlineStr">
        <is>
          <t>January</t>
        </is>
      </c>
      <c r="C79" s="15" t="n">
        <v>23</v>
      </c>
      <c r="D79" s="16" t="n">
        <v>40249.26</v>
      </c>
      <c r="E79" s="15" t="n">
        <v>11</v>
      </c>
      <c r="F79" s="16" t="n">
        <v>12530.47</v>
      </c>
      <c r="G79" s="15" t="n">
        <v>48</v>
      </c>
      <c r="H79" s="16" t="n">
        <v>65675.38</v>
      </c>
      <c r="I79" s="43" t="n">
        <v>250</v>
      </c>
      <c r="J79" s="37" t="n">
        <v>0</v>
      </c>
      <c r="K79" s="37" t="n">
        <v>0</v>
      </c>
      <c r="L79" s="36" t="n">
        <v>950</v>
      </c>
      <c r="M79" s="44" t="n">
        <v>950</v>
      </c>
      <c r="N79" s="44" t="n">
        <v>700</v>
      </c>
    </row>
    <row r="80" ht="22" customHeight="1">
      <c r="A80" s="25" t="inlineStr">
        <is>
          <t>Abel Guaina</t>
        </is>
      </c>
      <c r="B80" s="14" t="inlineStr">
        <is>
          <t>March</t>
        </is>
      </c>
      <c r="C80" s="15" t="n">
        <v>30</v>
      </c>
      <c r="D80" s="16" t="n">
        <v>46523.37</v>
      </c>
      <c r="E80" s="15" t="n">
        <v>5</v>
      </c>
      <c r="F80" s="16" t="n">
        <v>3901</v>
      </c>
      <c r="G80" s="15" t="n">
        <v>17</v>
      </c>
      <c r="H80" s="16" t="n">
        <v>25227.6</v>
      </c>
      <c r="I80" s="43" t="n">
        <v>350</v>
      </c>
      <c r="J80" s="36" t="n">
        <v>250</v>
      </c>
      <c r="K80" s="37" t="n">
        <v>0</v>
      </c>
      <c r="L80" s="36" t="n">
        <v>750</v>
      </c>
      <c r="M80" s="44" t="n">
        <v>1000</v>
      </c>
      <c r="N80" s="44" t="n">
        <v>650</v>
      </c>
    </row>
    <row r="81" ht="22" customHeight="1">
      <c r="A81" s="25" t="inlineStr">
        <is>
          <t>Melissa Hernandez</t>
        </is>
      </c>
      <c r="B81" s="14" t="inlineStr">
        <is>
          <t>January</t>
        </is>
      </c>
      <c r="C81" s="15" t="n">
        <v>31</v>
      </c>
      <c r="D81" s="16" t="n">
        <v>37039</v>
      </c>
      <c r="E81" s="15" t="n">
        <v>0</v>
      </c>
      <c r="F81" s="16" t="n">
        <v>0</v>
      </c>
      <c r="G81" s="15" t="n">
        <v>48</v>
      </c>
      <c r="H81" s="16" t="n">
        <v>63374.5</v>
      </c>
      <c r="I81" s="43" t="n">
        <v>250</v>
      </c>
      <c r="J81" s="37" t="n">
        <v>0</v>
      </c>
      <c r="K81" s="37" t="n">
        <v>0</v>
      </c>
      <c r="L81" s="36" t="n">
        <v>850</v>
      </c>
      <c r="M81" s="44" t="n">
        <v>850</v>
      </c>
      <c r="N81" s="44" t="n">
        <v>600</v>
      </c>
    </row>
    <row r="82" ht="22" customHeight="1">
      <c r="A82" s="25" t="inlineStr">
        <is>
          <t>Abel Guaina</t>
        </is>
      </c>
      <c r="B82" s="14" t="inlineStr">
        <is>
          <t>January</t>
        </is>
      </c>
      <c r="C82" s="15" t="n">
        <v>25</v>
      </c>
      <c r="D82" s="16" t="n">
        <v>38611.42</v>
      </c>
      <c r="E82" s="15" t="n">
        <v>9</v>
      </c>
      <c r="F82" s="16" t="n">
        <v>7605</v>
      </c>
      <c r="G82" s="15" t="n">
        <v>17</v>
      </c>
      <c r="H82" s="16" t="n">
        <v>27518.5</v>
      </c>
      <c r="I82" s="43" t="n">
        <v>250</v>
      </c>
      <c r="J82" s="37" t="n">
        <v>0</v>
      </c>
      <c r="K82" s="37" t="n">
        <v>0</v>
      </c>
      <c r="L82" s="36" t="n">
        <v>750</v>
      </c>
      <c r="M82" s="44" t="n">
        <v>750</v>
      </c>
      <c r="N82" s="44" t="n">
        <v>500</v>
      </c>
    </row>
    <row r="83" ht="22" customHeight="1">
      <c r="A83" s="25" t="inlineStr">
        <is>
          <t>Flavia Parra</t>
        </is>
      </c>
      <c r="B83" s="14" t="inlineStr">
        <is>
          <t>March</t>
        </is>
      </c>
      <c r="C83" s="15" t="n">
        <v>27</v>
      </c>
      <c r="D83" s="16" t="n">
        <v>31269</v>
      </c>
      <c r="E83" s="15" t="n">
        <v>0</v>
      </c>
      <c r="F83" s="16" t="n">
        <v>0</v>
      </c>
      <c r="G83" s="15" t="n">
        <v>27</v>
      </c>
      <c r="H83" s="16" t="n">
        <v>23526.7</v>
      </c>
      <c r="I83" s="43" t="n">
        <v>0</v>
      </c>
      <c r="J83" s="37" t="n">
        <v>0</v>
      </c>
      <c r="K83" s="37" t="n">
        <v>0</v>
      </c>
      <c r="L83" s="37" t="n">
        <v>0</v>
      </c>
      <c r="M83" s="45" t="n">
        <v>0</v>
      </c>
      <c r="N83" s="48" t="n">
        <v>0</v>
      </c>
    </row>
    <row r="84" ht="22" customHeight="1">
      <c r="A84" s="25" t="inlineStr">
        <is>
          <t>Thalia Rojas</t>
        </is>
      </c>
      <c r="B84" s="14" t="inlineStr">
        <is>
          <t>March</t>
        </is>
      </c>
      <c r="C84" s="15" t="n">
        <v>19</v>
      </c>
      <c r="D84" s="16" t="n">
        <v>17843.69</v>
      </c>
      <c r="E84" s="15" t="n">
        <v>6</v>
      </c>
      <c r="F84" s="16" t="n">
        <v>5643.9</v>
      </c>
      <c r="G84" s="15" t="n">
        <v>19</v>
      </c>
      <c r="H84" s="16" t="n">
        <v>19840.85</v>
      </c>
      <c r="I84" s="43" t="n">
        <v>0</v>
      </c>
      <c r="J84" s="37" t="n">
        <v>0</v>
      </c>
      <c r="K84" s="37" t="n">
        <v>0</v>
      </c>
      <c r="L84" s="37" t="n">
        <v>0</v>
      </c>
      <c r="M84" s="45" t="n">
        <v>0</v>
      </c>
      <c r="N84" s="48" t="n">
        <v>0</v>
      </c>
    </row>
    <row r="85" ht="22" customHeight="1">
      <c r="A85" s="25" t="inlineStr">
        <is>
          <t>Abel Guaina</t>
        </is>
      </c>
      <c r="B85" s="14" t="inlineStr">
        <is>
          <t>April</t>
        </is>
      </c>
      <c r="C85" s="15" t="n">
        <v>27</v>
      </c>
      <c r="D85" s="16" t="n">
        <v>37825.93</v>
      </c>
      <c r="E85" s="15" t="n">
        <v>13</v>
      </c>
      <c r="F85" s="16" t="n">
        <v>10935.99</v>
      </c>
      <c r="G85" s="15" t="n">
        <v>15</v>
      </c>
      <c r="H85" s="16" t="n">
        <v>15361.95</v>
      </c>
      <c r="I85" s="43" t="n">
        <v>350</v>
      </c>
      <c r="J85" s="37" t="n">
        <v>0</v>
      </c>
      <c r="K85" s="37" t="n">
        <v>0</v>
      </c>
      <c r="L85" s="37" t="n">
        <v>0</v>
      </c>
      <c r="M85" s="45" t="n">
        <v>0</v>
      </c>
      <c r="N85" s="45" t="n">
        <v>-350</v>
      </c>
    </row>
    <row r="86" ht="28" customHeight="1">
      <c r="A86" s="18" t="inlineStr">
        <is>
          <t>4-MONTH TOTAL (all 6 agents)</t>
        </is>
      </c>
      <c r="B86" s="41" t="n"/>
      <c r="C86" s="41" t="n"/>
      <c r="D86" s="41" t="n"/>
      <c r="E86" s="41" t="n"/>
      <c r="F86" s="41" t="n"/>
      <c r="G86" s="41" t="n"/>
      <c r="H86" s="41" t="n"/>
      <c r="I86" s="46" t="n">
        <v>2750</v>
      </c>
      <c r="J86" s="41" t="n"/>
      <c r="K86" s="41" t="n"/>
      <c r="L86" s="41" t="n"/>
      <c r="M86" s="47" t="n">
        <v>18475</v>
      </c>
      <c r="N86" s="44" t="n">
        <v>15725</v>
      </c>
    </row>
  </sheetData>
  <mergeCells count="5">
    <mergeCell ref="A1:J1"/>
    <mergeCell ref="A4:N4"/>
    <mergeCell ref="A60:N60"/>
    <mergeCell ref="A2:J2"/>
    <mergeCell ref="A32:N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8" customWidth="1" min="4" max="4"/>
    <col width="30" customWidth="1" min="5" max="5"/>
    <col width="22" customWidth="1" min="6" max="6"/>
    <col width="28" customWidth="1" min="7" max="7"/>
  </cols>
  <sheetData>
    <row r="1">
      <c r="A1" s="1" t="inlineStr">
        <is>
          <t>90-Day Cancellation and Rewrite Chargeback</t>
        </is>
      </c>
    </row>
    <row r="2">
      <c r="A2" s="22" t="inlineStr">
        <is>
          <t>Every bonused policy is reviewed 90 days after effective date. If it cancels or rewrites, the paid bonus is reversed 100%.</t>
        </is>
      </c>
    </row>
    <row r="4">
      <c r="A4" s="6" t="inlineStr">
        <is>
          <t>Step</t>
        </is>
      </c>
      <c r="B4" s="6" t="inlineStr">
        <is>
          <t>Owner</t>
        </is>
      </c>
      <c r="C4" s="6" t="inlineStr">
        <is>
          <t>Action</t>
        </is>
      </c>
      <c r="D4" s="6" t="inlineStr">
        <is>
          <t>Timing</t>
        </is>
      </c>
      <c r="E4" s="6" t="inlineStr">
        <is>
          <t>Required Fields</t>
        </is>
      </c>
      <c r="F4" s="6" t="inlineStr">
        <is>
          <t>Payroll Result</t>
        </is>
      </c>
      <c r="G4" s="6" t="inlineStr">
        <is>
          <t>Example</t>
        </is>
      </c>
    </row>
    <row r="5" ht="30" customHeight="1">
      <c r="A5" s="14" t="inlineStr">
        <is>
          <t>1</t>
        </is>
      </c>
      <c r="B5" s="14" t="inlineStr">
        <is>
          <t>Agent</t>
        </is>
      </c>
      <c r="C5" s="14" t="inlineStr">
        <is>
          <t>Enter policy in monthly tracker</t>
        </is>
      </c>
      <c r="D5" s="14" t="inlineStr">
        <is>
          <t>Same month written</t>
        </is>
      </c>
      <c r="E5" s="14" t="inlineStr">
        <is>
          <t>Customer, policy, company, type, premium, collected, PIF, coverages</t>
        </is>
      </c>
      <c r="F5" s="14" t="inlineStr">
        <is>
          <t>Eligible for review</t>
        </is>
      </c>
      <c r="G5" s="14" t="inlineStr">
        <is>
          <t>NB policy written Jan 12</t>
        </is>
      </c>
    </row>
    <row r="6" ht="30" customHeight="1">
      <c r="A6" s="49" t="inlineStr">
        <is>
          <t>2</t>
        </is>
      </c>
      <c r="B6" s="49" t="inlineStr">
        <is>
          <t>Manager</t>
        </is>
      </c>
      <c r="C6" s="49" t="inlineStr">
        <is>
          <t>Verify premium, collected, PIF, coverages</t>
        </is>
      </c>
      <c r="D6" s="49" t="inlineStr">
        <is>
          <t>Before payroll</t>
        </is>
      </c>
      <c r="E6" s="49" t="inlineStr">
        <is>
          <t>Receipts, dec page, MVR, carrier proof</t>
        </is>
      </c>
      <c r="F6" s="49" t="inlineStr">
        <is>
          <t>Approved or denied</t>
        </is>
      </c>
      <c r="G6" s="49" t="inlineStr">
        <is>
          <t>BI/UM proof attached</t>
        </is>
      </c>
    </row>
    <row r="7" ht="30" customHeight="1">
      <c r="A7" s="14" t="inlineStr">
        <is>
          <t>3</t>
        </is>
      </c>
      <c r="B7" s="14" t="inlineStr">
        <is>
          <t>Payroll</t>
        </is>
      </c>
      <c r="C7" s="14" t="inlineStr">
        <is>
          <t>Pay approved bonus</t>
        </is>
      </c>
      <c r="D7" s="14" t="inlineStr">
        <is>
          <t>Monthly payroll</t>
        </is>
      </c>
      <c r="E7" s="14" t="inlineStr">
        <is>
          <t>Approved tracker row</t>
        </is>
      </c>
      <c r="F7" s="14" t="inlineStr">
        <is>
          <t>Bonus paid</t>
        </is>
      </c>
      <c r="G7" s="14" t="inlineStr">
        <is>
          <t>$15 paid in January</t>
        </is>
      </c>
    </row>
    <row r="8" ht="30" customHeight="1">
      <c r="A8" s="49" t="inlineStr">
        <is>
          <t>4</t>
        </is>
      </c>
      <c r="B8" s="49" t="inlineStr">
        <is>
          <t>Manager</t>
        </is>
      </c>
      <c r="C8" s="49" t="inlineStr">
        <is>
          <t>Review policy 90 days after effective</t>
        </is>
      </c>
      <c r="D8" s="49" t="inlineStr">
        <is>
          <t>Month 3</t>
        </is>
      </c>
      <c r="E8" s="49" t="inlineStr">
        <is>
          <t>Carrier status, cancel/rewrite report</t>
        </is>
      </c>
      <c r="F8" s="49" t="inlineStr">
        <is>
          <t>Keep or chargeback</t>
        </is>
      </c>
      <c r="G8" s="49" t="inlineStr">
        <is>
          <t>Jan 12 reviewed Apr 12</t>
        </is>
      </c>
    </row>
    <row r="9" ht="30" customHeight="1">
      <c r="A9" s="14" t="inlineStr">
        <is>
          <t>5</t>
        </is>
      </c>
      <c r="B9" s="14" t="inlineStr">
        <is>
          <t>Payroll</t>
        </is>
      </c>
      <c r="C9" s="14" t="inlineStr">
        <is>
          <t>If cancel/rewrite, reverse 100%</t>
        </is>
      </c>
      <c r="D9" s="14" t="inlineStr">
        <is>
          <t>Next payroll</t>
        </is>
      </c>
      <c r="E9" s="14" t="inlineStr">
        <is>
          <t>Cancel/rewrite flag</t>
        </is>
      </c>
      <c r="F9" s="14" t="inlineStr">
        <is>
          <t>Negative bonus line</t>
        </is>
      </c>
      <c r="G9" s="14" t="inlineStr">
        <is>
          <t>-$15 chargeback</t>
        </is>
      </c>
    </row>
    <row r="10" ht="30" customHeight="1">
      <c r="A10" s="49" t="inlineStr">
        <is>
          <t>6</t>
        </is>
      </c>
      <c r="B10" s="49" t="inlineStr">
        <is>
          <t>Manager</t>
        </is>
      </c>
      <c r="C10" s="49" t="inlineStr">
        <is>
          <t>Document exception if ownership approves</t>
        </is>
      </c>
      <c r="D10" s="49" t="inlineStr">
        <is>
          <t>As needed</t>
        </is>
      </c>
      <c r="E10" s="49" t="inlineStr">
        <is>
          <t>Written approval</t>
        </is>
      </c>
      <c r="F10" s="49" t="inlineStr">
        <is>
          <t>Exception logged</t>
        </is>
      </c>
      <c r="G10" s="49" t="inlineStr">
        <is>
          <t>Carrier error fix</t>
        </is>
      </c>
    </row>
    <row r="11" ht="30" customHeight="1">
      <c r="A11" s="14" t="inlineStr">
        <is>
          <t>7</t>
        </is>
      </c>
      <c r="B11" s="14" t="inlineStr">
        <is>
          <t>Ownership</t>
        </is>
      </c>
      <c r="C11" s="14" t="inlineStr">
        <is>
          <t>Review monthly chargeback totals</t>
        </is>
      </c>
      <c r="D11" s="14" t="inlineStr">
        <is>
          <t>Monthly</t>
        </is>
      </c>
      <c r="E11" s="14" t="inlineStr">
        <is>
          <t>Chargeback report</t>
        </is>
      </c>
      <c r="F11" s="14" t="inlineStr">
        <is>
          <t>Coach or adjust plan</t>
        </is>
      </c>
      <c r="G11" s="14" t="inlineStr">
        <is>
          <t>High chargeback agent flagged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1" customWidth="1" min="6" max="6"/>
    <col width="11" customWidth="1" min="7" max="7"/>
    <col width="14" customWidth="1" min="8" max="8"/>
    <col width="13" customWidth="1" min="9" max="9"/>
    <col width="13" customWidth="1" min="10" max="10"/>
    <col width="14" customWidth="1" min="11" max="11"/>
    <col width="7" customWidth="1" min="12" max="12"/>
    <col width="14" customWidth="1" min="13" max="13"/>
    <col width="16" customWidth="1" min="14" max="14"/>
    <col width="13" customWidth="1" min="15" max="15"/>
  </cols>
  <sheetData>
    <row r="1">
      <c r="A1" s="1" t="inlineStr">
        <is>
          <t>Monthly Manual Bonus Tracker - The Bonus Plan</t>
        </is>
      </c>
    </row>
    <row r="2">
      <c r="A2" s="22" t="inlineStr">
        <is>
          <t>Agents enter ONE ROW PER POLICY. Without an entry the policy does NOT get bonused. Manager verifies fields. Per-policy bonus columns auto-calculate from the formulas below.</t>
        </is>
      </c>
    </row>
    <row r="3">
      <c r="A3" s="5" t="inlineStr">
        <is>
          <t>THE BONUS PLAN FORMULAS (for reference)</t>
        </is>
      </c>
    </row>
    <row r="4" ht="22" customHeight="1">
      <c r="A4" s="50" t="inlineStr">
        <is>
          <t>NB tiered bonus</t>
        </is>
      </c>
      <c r="B4" s="50" t="inlineStr">
        <is>
          <t>Monthly NB written premium: T1 $45k=$250 | T2 $55k=$375 | T3 $70k=$525 | T4 $85k=$725 | T5 $100k=$1,000. Above $100k: +$50 per $5k.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2" t="n"/>
    </row>
    <row r="5" ht="22" customHeight="1">
      <c r="A5" s="50" t="inlineStr">
        <is>
          <t>RWR tiered bonus</t>
        </is>
      </c>
      <c r="B5" s="50" t="inlineStr">
        <is>
          <t>Same breakpoints as NB, pays ~half: T1=$100 | T2=$200 | T3=$275 | T4=$350 | T5=$500. Above $100k: +$25 per $5k.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2" t="n"/>
    </row>
    <row r="6" ht="22" customHeight="1">
      <c r="A6" s="50" t="inlineStr">
        <is>
          <t>REN tiered bonus</t>
        </is>
      </c>
      <c r="B6" s="50" t="inlineStr">
        <is>
          <t>Own breakpoints: T1 $25k=$250 | T2 $40k=$350 | T3 $65k=$450 | T4 $80k=$550 | T5 $100k=$800. Above $100k: +$40 per $5k.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2" t="n"/>
    </row>
    <row r="7" ht="22" customHeight="1">
      <c r="A7" s="50" t="inlineStr">
        <is>
          <t>REN retention kicker</t>
        </is>
      </c>
      <c r="B7" s="50" t="inlineStr">
        <is>
          <t>On top of REN tier bonus. 30-49% = $0 | 50-74% = +$250 | 75-99% = +$500 | 100% = +$1,000.</t>
        </is>
      </c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2" t="n"/>
    </row>
    <row r="8" ht="22" customHeight="1">
      <c r="A8" s="50" t="inlineStr">
        <is>
          <t>Minimums (monthly)</t>
        </is>
      </c>
      <c r="B8" s="50" t="inlineStr">
        <is>
          <t>NB written premium &gt;= $45,000 | REN retention rate &gt;= 30% of book | RWR follows NB gate (no separate RWR floor)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2" t="n"/>
    </row>
    <row r="9" ht="22" customHeight="1">
      <c r="A9" s="50" t="inlineStr">
        <is>
          <t>Chargeback</t>
        </is>
      </c>
      <c r="B9" s="50" t="inlineStr">
        <is>
          <t>3 months (90 days) - bonus reversed if policy cancels/rewrites within 90 days</t>
        </is>
      </c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2" t="n"/>
    </row>
    <row r="11">
      <c r="A11" s="5" t="inlineStr">
        <is>
          <t>ONE ROW PER POLICY</t>
        </is>
      </c>
    </row>
    <row r="12">
      <c r="A12" s="6" t="inlineStr">
        <is>
          <t>Agent</t>
        </is>
      </c>
      <c r="B12" s="6" t="inlineStr">
        <is>
          <t>Customer</t>
        </is>
      </c>
      <c r="C12" s="6" t="inlineStr">
        <is>
          <t>Policy #</t>
        </is>
      </c>
      <c r="D12" s="6" t="inlineStr">
        <is>
          <t>Carrier</t>
        </is>
      </c>
      <c r="E12" s="6" t="inlineStr">
        <is>
          <t>Type (NB/RWR/REN)</t>
        </is>
      </c>
      <c r="F12" s="6" t="inlineStr">
        <is>
          <t>Eff Date</t>
        </is>
      </c>
      <c r="G12" s="6" t="inlineStr">
        <is>
          <t>Exp Date</t>
        </is>
      </c>
      <c r="H12" s="6" t="inlineStr">
        <is>
          <t>90-Day Review Date</t>
        </is>
      </c>
      <c r="I12" s="6" t="inlineStr">
        <is>
          <t>Written Premium</t>
        </is>
      </c>
      <c r="J12" s="6" t="inlineStr">
        <is>
          <t>Down Payment $</t>
        </is>
      </c>
      <c r="K12" s="6" t="inlineStr">
        <is>
          <t>Collected % (calc)</t>
        </is>
      </c>
      <c r="L12" s="6" t="inlineStr">
        <is>
          <t>PIF?</t>
        </is>
      </c>
      <c r="M12" s="6" t="inlineStr">
        <is>
          <t>Per-Policy Base $</t>
        </is>
      </c>
      <c r="N12" s="6" t="inlineStr">
        <is>
          <t>Collected Incentive $</t>
        </is>
      </c>
      <c r="O12" s="6" t="inlineStr">
        <is>
          <t>Total Bonus $</t>
        </is>
      </c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</row>
  </sheetData>
  <mergeCells count="10">
    <mergeCell ref="B9:O9"/>
    <mergeCell ref="B8:O8"/>
    <mergeCell ref="B4:O4"/>
    <mergeCell ref="A2:O2"/>
    <mergeCell ref="B6:O6"/>
    <mergeCell ref="A11:O11"/>
    <mergeCell ref="B7:O7"/>
    <mergeCell ref="A1:O1"/>
    <mergeCell ref="B5:O5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Source Data - 6 Agents, January-April 2026</t>
        </is>
      </c>
    </row>
    <row r="2">
      <c r="A2" s="4" t="inlineStr">
        <is>
          <t>This is the raw NB / RWR / REN production data behind every calculation in the workbook. From agents_nbrwr_pivots_good_.xlsx.</t>
        </is>
      </c>
    </row>
    <row r="4">
      <c r="A4" s="6" t="inlineStr">
        <is>
          <t>Agent</t>
        </is>
      </c>
      <c r="B4" s="6" t="inlineStr">
        <is>
          <t>Month</t>
        </is>
      </c>
      <c r="C4" s="6" t="inlineStr">
        <is>
          <t>NB Count</t>
        </is>
      </c>
      <c r="D4" s="6" t="inlineStr">
        <is>
          <t>NB Written</t>
        </is>
      </c>
      <c r="E4" s="6" t="inlineStr">
        <is>
          <t>NB Collected</t>
        </is>
      </c>
      <c r="F4" s="6" t="inlineStr">
        <is>
          <t>NB Coll %</t>
        </is>
      </c>
      <c r="G4" s="6" t="inlineStr">
        <is>
          <t>RWR Count</t>
        </is>
      </c>
      <c r="H4" s="6" t="inlineStr">
        <is>
          <t>RWR Written</t>
        </is>
      </c>
      <c r="I4" s="6" t="inlineStr">
        <is>
          <t>RWR Collected</t>
        </is>
      </c>
      <c r="J4" s="6" t="inlineStr">
        <is>
          <t>RWR Coll %</t>
        </is>
      </c>
      <c r="K4" s="6" t="inlineStr">
        <is>
          <t>REN Count</t>
        </is>
      </c>
      <c r="L4" s="6" t="inlineStr">
        <is>
          <t>REN Written</t>
        </is>
      </c>
      <c r="M4" s="6" t="inlineStr">
        <is>
          <t>REN Collected</t>
        </is>
      </c>
      <c r="N4" s="6" t="inlineStr">
        <is>
          <t>REN Coll %</t>
        </is>
      </c>
    </row>
    <row r="5">
      <c r="A5" s="14" t="inlineStr">
        <is>
          <t>Abel Guaina</t>
        </is>
      </c>
      <c r="B5" s="14" t="inlineStr">
        <is>
          <t>January</t>
        </is>
      </c>
      <c r="C5" s="15" t="n">
        <v>25</v>
      </c>
      <c r="D5" s="16" t="n">
        <v>38611.42</v>
      </c>
      <c r="E5" s="16" t="n">
        <v>4938.26</v>
      </c>
      <c r="F5" s="53" t="n">
        <v>0.1278963581240991</v>
      </c>
      <c r="G5" s="15" t="n">
        <v>17</v>
      </c>
      <c r="H5" s="16" t="n">
        <v>27518.5</v>
      </c>
      <c r="I5" s="16" t="n">
        <v>6186.16</v>
      </c>
      <c r="J5" s="53" t="n">
        <v>0.224800043607028</v>
      </c>
      <c r="K5" s="15" t="n">
        <v>9</v>
      </c>
      <c r="L5" s="16" t="n">
        <v>7605</v>
      </c>
      <c r="M5" s="16" t="n">
        <v>1734.23</v>
      </c>
      <c r="N5" s="53" t="n">
        <v>0.2280381328073636</v>
      </c>
    </row>
    <row r="6">
      <c r="A6" s="14" t="inlineStr">
        <is>
          <t>Abel Guaina</t>
        </is>
      </c>
      <c r="B6" s="14" t="inlineStr">
        <is>
          <t>February</t>
        </is>
      </c>
      <c r="C6" s="15" t="n">
        <v>13</v>
      </c>
      <c r="D6" s="16" t="n">
        <v>25367</v>
      </c>
      <c r="E6" s="16" t="n">
        <v>3258.77</v>
      </c>
      <c r="F6" s="53" t="n">
        <v>0.1284649347577561</v>
      </c>
      <c r="G6" s="15" t="n">
        <v>19</v>
      </c>
      <c r="H6" s="16" t="n">
        <v>30643</v>
      </c>
      <c r="I6" s="16" t="n">
        <v>4268.29</v>
      </c>
      <c r="J6" s="53" t="n">
        <v>0.1392908657768495</v>
      </c>
      <c r="K6" s="15" t="n">
        <v>7</v>
      </c>
      <c r="L6" s="16" t="n">
        <v>7517</v>
      </c>
      <c r="M6" s="16" t="n">
        <v>1422.16</v>
      </c>
      <c r="N6" s="53" t="n">
        <v>0.1891924970067846</v>
      </c>
    </row>
    <row r="7">
      <c r="A7" s="14" t="inlineStr">
        <is>
          <t>Abel Guaina</t>
        </is>
      </c>
      <c r="B7" s="14" t="inlineStr">
        <is>
          <t>March</t>
        </is>
      </c>
      <c r="C7" s="15" t="n">
        <v>30</v>
      </c>
      <c r="D7" s="16" t="n">
        <v>46523.37</v>
      </c>
      <c r="E7" s="16" t="n">
        <v>6523.33</v>
      </c>
      <c r="F7" s="53" t="n">
        <v>0.140216196720057</v>
      </c>
      <c r="G7" s="15" t="n">
        <v>17</v>
      </c>
      <c r="H7" s="16" t="n">
        <v>25227.6</v>
      </c>
      <c r="I7" s="16" t="n">
        <v>5844.85</v>
      </c>
      <c r="J7" s="53" t="n">
        <v>0.2316847421078502</v>
      </c>
      <c r="K7" s="15" t="n">
        <v>5</v>
      </c>
      <c r="L7" s="16" t="n">
        <v>3901</v>
      </c>
      <c r="M7" s="16" t="n">
        <v>1274.08</v>
      </c>
      <c r="N7" s="53" t="n">
        <v>0.3266034350166624</v>
      </c>
    </row>
    <row r="8">
      <c r="A8" s="14" t="inlineStr">
        <is>
          <t>Abel Guaina</t>
        </is>
      </c>
      <c r="B8" s="14" t="inlineStr">
        <is>
          <t>April</t>
        </is>
      </c>
      <c r="C8" s="15" t="n">
        <v>27</v>
      </c>
      <c r="D8" s="16" t="n">
        <v>37825.93</v>
      </c>
      <c r="E8" s="16" t="n">
        <v>8163.72</v>
      </c>
      <c r="F8" s="53" t="n">
        <v>0.2158233783016042</v>
      </c>
      <c r="G8" s="15" t="n">
        <v>15</v>
      </c>
      <c r="H8" s="16" t="n">
        <v>15361.95</v>
      </c>
      <c r="I8" s="16" t="n">
        <v>3967.81</v>
      </c>
      <c r="J8" s="53" t="n">
        <v>0.2582881730509473</v>
      </c>
      <c r="K8" s="15" t="n">
        <v>13</v>
      </c>
      <c r="L8" s="16" t="n">
        <v>10935.99</v>
      </c>
      <c r="M8" s="16" t="n">
        <v>5439.19</v>
      </c>
      <c r="N8" s="53" t="n">
        <v>0.4973660363625058</v>
      </c>
    </row>
    <row r="9">
      <c r="A9" s="24" t="inlineStr"/>
      <c r="B9" s="24" t="inlineStr">
        <is>
          <t>4-mo TOTAL</t>
        </is>
      </c>
      <c r="C9" s="54" t="n">
        <v>95</v>
      </c>
      <c r="D9" s="19" t="n">
        <v>148327.72</v>
      </c>
      <c r="E9" s="19" t="n">
        <v>22884.08</v>
      </c>
      <c r="F9" s="55" t="n">
        <v>0.1542805350206961</v>
      </c>
      <c r="G9" s="54" t="n">
        <v>68</v>
      </c>
      <c r="H9" s="19" t="n">
        <v>98751.05</v>
      </c>
      <c r="I9" s="19" t="n">
        <v>20267.11</v>
      </c>
      <c r="J9" s="55" t="n">
        <v>0.2052343747231042</v>
      </c>
      <c r="K9" s="54" t="n">
        <v>34</v>
      </c>
      <c r="L9" s="19" t="n">
        <v>29958.99</v>
      </c>
      <c r="M9" s="19" t="n">
        <v>9869.66</v>
      </c>
      <c r="N9" s="55" t="n">
        <v>0.3294390097930538</v>
      </c>
    </row>
    <row r="11">
      <c r="A11" s="14" t="inlineStr">
        <is>
          <t>Dialinerys Dieguez</t>
        </is>
      </c>
      <c r="B11" s="14" t="inlineStr">
        <is>
          <t>January</t>
        </is>
      </c>
      <c r="C11" s="15" t="n">
        <v>23</v>
      </c>
      <c r="D11" s="16" t="n">
        <v>40249.26</v>
      </c>
      <c r="E11" s="16" t="n">
        <v>4925</v>
      </c>
      <c r="F11" s="53" t="n">
        <v>0.1223624980931326</v>
      </c>
      <c r="G11" s="15" t="n">
        <v>48</v>
      </c>
      <c r="H11" s="16" t="n">
        <v>65675.38</v>
      </c>
      <c r="I11" s="16" t="n">
        <v>10936.32</v>
      </c>
      <c r="J11" s="53" t="n">
        <v>0.1665208484518856</v>
      </c>
      <c r="K11" s="15" t="n">
        <v>11</v>
      </c>
      <c r="L11" s="16" t="n">
        <v>12530.47</v>
      </c>
      <c r="M11" s="16" t="n">
        <v>4951.59</v>
      </c>
      <c r="N11" s="53" t="n">
        <v>0.395163948359479</v>
      </c>
    </row>
    <row r="12">
      <c r="A12" s="14" t="inlineStr">
        <is>
          <t>Dialinerys Dieguez</t>
        </is>
      </c>
      <c r="B12" s="14" t="inlineStr">
        <is>
          <t>February</t>
        </is>
      </c>
      <c r="C12" s="15" t="n">
        <v>23</v>
      </c>
      <c r="D12" s="16" t="n">
        <v>30057.89</v>
      </c>
      <c r="E12" s="16" t="n">
        <v>5766.72</v>
      </c>
      <c r="F12" s="53" t="n">
        <v>0.1918537861440041</v>
      </c>
      <c r="G12" s="15" t="n">
        <v>56</v>
      </c>
      <c r="H12" s="16" t="n">
        <v>85544.60000000001</v>
      </c>
      <c r="I12" s="16" t="n">
        <v>13931.43</v>
      </c>
      <c r="J12" s="53" t="n">
        <v>0.1628557500999478</v>
      </c>
      <c r="K12" s="15" t="n">
        <v>9</v>
      </c>
      <c r="L12" s="16" t="n">
        <v>11629.68</v>
      </c>
      <c r="M12" s="16" t="n">
        <v>1937.6</v>
      </c>
      <c r="N12" s="53" t="n">
        <v>0.1666081955823376</v>
      </c>
    </row>
    <row r="13">
      <c r="A13" s="14" t="inlineStr">
        <is>
          <t>Dialinerys Dieguez</t>
        </is>
      </c>
      <c r="B13" s="14" t="inlineStr">
        <is>
          <t>March</t>
        </is>
      </c>
      <c r="C13" s="15" t="n">
        <v>38</v>
      </c>
      <c r="D13" s="16" t="n">
        <v>52434.9</v>
      </c>
      <c r="E13" s="16" t="n">
        <v>10546.59</v>
      </c>
      <c r="F13" s="53" t="n">
        <v>0.2011368382508596</v>
      </c>
      <c r="G13" s="15" t="n">
        <v>69</v>
      </c>
      <c r="H13" s="16" t="n">
        <v>96228.35000000001</v>
      </c>
      <c r="I13" s="16" t="n">
        <v>19700.38</v>
      </c>
      <c r="J13" s="53" t="n">
        <v>0.2047253226310126</v>
      </c>
      <c r="K13" s="15" t="n">
        <v>7</v>
      </c>
      <c r="L13" s="16" t="n">
        <v>5962.5</v>
      </c>
      <c r="M13" s="16" t="n">
        <v>3080</v>
      </c>
      <c r="N13" s="53" t="n">
        <v>0.5165618448637317</v>
      </c>
    </row>
    <row r="14">
      <c r="A14" s="14" t="inlineStr">
        <is>
          <t>Dialinerys Dieguez</t>
        </is>
      </c>
      <c r="B14" s="14" t="inlineStr">
        <is>
          <t>April</t>
        </is>
      </c>
      <c r="C14" s="15" t="n">
        <v>33</v>
      </c>
      <c r="D14" s="16" t="n">
        <v>49689.35</v>
      </c>
      <c r="E14" s="16" t="n">
        <v>8831.440000000001</v>
      </c>
      <c r="F14" s="53" t="n">
        <v>0.1777330554736579</v>
      </c>
      <c r="G14" s="15" t="n">
        <v>44</v>
      </c>
      <c r="H14" s="16" t="n">
        <v>64165.43</v>
      </c>
      <c r="I14" s="16" t="n">
        <v>16668.05</v>
      </c>
      <c r="J14" s="53" t="n">
        <v>0.2597668245969831</v>
      </c>
      <c r="K14" s="15" t="n">
        <v>2</v>
      </c>
      <c r="L14" s="16" t="n">
        <v>19575</v>
      </c>
      <c r="M14" s="16" t="n">
        <v>2939.65</v>
      </c>
      <c r="N14" s="53" t="n">
        <v>0.1501736909323116</v>
      </c>
    </row>
    <row r="15">
      <c r="A15" s="24" t="inlineStr"/>
      <c r="B15" s="24" t="inlineStr">
        <is>
          <t>4-mo TOTAL</t>
        </is>
      </c>
      <c r="C15" s="54" t="n">
        <v>117</v>
      </c>
      <c r="D15" s="19" t="n">
        <v>172431.4</v>
      </c>
      <c r="E15" s="19" t="n">
        <v>30069.75</v>
      </c>
      <c r="F15" s="55" t="n">
        <v>0.1743867416259452</v>
      </c>
      <c r="G15" s="54" t="n">
        <v>217</v>
      </c>
      <c r="H15" s="19" t="n">
        <v>311613.76</v>
      </c>
      <c r="I15" s="19" t="n">
        <v>61236.18000000001</v>
      </c>
      <c r="J15" s="55" t="n">
        <v>0.1965130808087551</v>
      </c>
      <c r="K15" s="54" t="n">
        <v>29</v>
      </c>
      <c r="L15" s="19" t="n">
        <v>49697.65</v>
      </c>
      <c r="M15" s="19" t="n">
        <v>12908.84</v>
      </c>
      <c r="N15" s="55" t="n">
        <v>0.2597474930907196</v>
      </c>
    </row>
    <row r="17">
      <c r="A17" s="14" t="inlineStr">
        <is>
          <t>Melissa Hernandez</t>
        </is>
      </c>
      <c r="B17" s="14" t="inlineStr">
        <is>
          <t>January</t>
        </is>
      </c>
      <c r="C17" s="15" t="n">
        <v>31</v>
      </c>
      <c r="D17" s="16" t="n">
        <v>37039</v>
      </c>
      <c r="E17" s="16" t="n">
        <v>7651.14</v>
      </c>
      <c r="F17" s="53" t="n">
        <v>0.2065698317989147</v>
      </c>
      <c r="G17" s="15" t="n">
        <v>48</v>
      </c>
      <c r="H17" s="16" t="n">
        <v>63374.5</v>
      </c>
      <c r="I17" s="16" t="n">
        <v>11897.57</v>
      </c>
      <c r="J17" s="53" t="n">
        <v>0.1877343410993381</v>
      </c>
      <c r="K17" s="15" t="n">
        <v>0</v>
      </c>
      <c r="L17" s="16" t="n">
        <v>0</v>
      </c>
      <c r="M17" s="16" t="n">
        <v>0</v>
      </c>
      <c r="N17" s="53" t="n">
        <v>0</v>
      </c>
    </row>
    <row r="18">
      <c r="A18" s="14" t="inlineStr">
        <is>
          <t>Melissa Hernandez</t>
        </is>
      </c>
      <c r="B18" s="14" t="inlineStr">
        <is>
          <t>February</t>
        </is>
      </c>
      <c r="C18" s="15" t="n">
        <v>13</v>
      </c>
      <c r="D18" s="16" t="n">
        <v>7659.5</v>
      </c>
      <c r="E18" s="16" t="n">
        <v>2095.02</v>
      </c>
      <c r="F18" s="53" t="n">
        <v>0.2735191592140479</v>
      </c>
      <c r="G18" s="15" t="n">
        <v>37</v>
      </c>
      <c r="H18" s="16" t="n">
        <v>49990.7</v>
      </c>
      <c r="I18" s="16" t="n">
        <v>6802.73</v>
      </c>
      <c r="J18" s="53" t="n">
        <v>0.1360799108634206</v>
      </c>
      <c r="K18" s="15" t="n">
        <v>1</v>
      </c>
      <c r="L18" s="16" t="n">
        <v>1063</v>
      </c>
      <c r="M18" s="16" t="n">
        <v>91.75</v>
      </c>
      <c r="N18" s="53" t="n">
        <v>0.08631232361241768</v>
      </c>
    </row>
    <row r="19">
      <c r="A19" s="14" t="inlineStr">
        <is>
          <t>Melissa Hernandez</t>
        </is>
      </c>
      <c r="B19" s="14" t="inlineStr">
        <is>
          <t>March</t>
        </is>
      </c>
      <c r="C19" s="15" t="n">
        <v>28</v>
      </c>
      <c r="D19" s="16" t="n">
        <v>39759.7</v>
      </c>
      <c r="E19" s="16" t="n">
        <v>5669.41</v>
      </c>
      <c r="F19" s="53" t="n">
        <v>0.142591870663008</v>
      </c>
      <c r="G19" s="15" t="n">
        <v>48</v>
      </c>
      <c r="H19" s="16" t="n">
        <v>56860.6</v>
      </c>
      <c r="I19" s="16" t="n">
        <v>8620.469999999999</v>
      </c>
      <c r="J19" s="53" t="n">
        <v>0.1516070882122243</v>
      </c>
      <c r="K19" s="15" t="n">
        <v>1</v>
      </c>
      <c r="L19" s="16" t="n">
        <v>1034</v>
      </c>
      <c r="M19" s="16" t="n">
        <v>180.45</v>
      </c>
      <c r="N19" s="53" t="n">
        <v>0.1745164410058027</v>
      </c>
    </row>
    <row r="20">
      <c r="A20" s="14" t="inlineStr">
        <is>
          <t>Melissa Hernandez</t>
        </is>
      </c>
      <c r="B20" s="14" t="inlineStr">
        <is>
          <t>April</t>
        </is>
      </c>
      <c r="C20" s="15" t="n">
        <v>15</v>
      </c>
      <c r="D20" s="16" t="n">
        <v>19288.35</v>
      </c>
      <c r="E20" s="16" t="n">
        <v>4344.3</v>
      </c>
      <c r="F20" s="53" t="n">
        <v>0.225229218673448</v>
      </c>
      <c r="G20" s="15" t="n">
        <v>37</v>
      </c>
      <c r="H20" s="16" t="n">
        <v>43396.2</v>
      </c>
      <c r="I20" s="16" t="n">
        <v>7660.7</v>
      </c>
      <c r="J20" s="53" t="n">
        <v>0.1765292813656495</v>
      </c>
      <c r="K20" s="15" t="n">
        <v>0</v>
      </c>
      <c r="L20" s="16" t="n">
        <v>0</v>
      </c>
      <c r="M20" s="16" t="n">
        <v>0</v>
      </c>
      <c r="N20" s="53" t="n">
        <v>0</v>
      </c>
    </row>
    <row r="21">
      <c r="A21" s="24" t="inlineStr"/>
      <c r="B21" s="24" t="inlineStr">
        <is>
          <t>4-mo TOTAL</t>
        </is>
      </c>
      <c r="C21" s="54" t="n">
        <v>87</v>
      </c>
      <c r="D21" s="19" t="n">
        <v>103746.55</v>
      </c>
      <c r="E21" s="19" t="n">
        <v>19759.87</v>
      </c>
      <c r="F21" s="55" t="n">
        <v>0.1904629117787531</v>
      </c>
      <c r="G21" s="54" t="n">
        <v>170</v>
      </c>
      <c r="H21" s="19" t="n">
        <v>213622</v>
      </c>
      <c r="I21" s="19" t="n">
        <v>34981.46999999999</v>
      </c>
      <c r="J21" s="55" t="n">
        <v>0.1637540609113293</v>
      </c>
      <c r="K21" s="54" t="n">
        <v>2</v>
      </c>
      <c r="L21" s="19" t="n">
        <v>2097</v>
      </c>
      <c r="M21" s="19" t="n">
        <v>272.2</v>
      </c>
      <c r="N21" s="55" t="n">
        <v>0.1298044825941821</v>
      </c>
    </row>
    <row r="23">
      <c r="A23" s="14" t="inlineStr">
        <is>
          <t>Flavia Parra</t>
        </is>
      </c>
      <c r="B23" s="14" t="inlineStr">
        <is>
          <t>January</t>
        </is>
      </c>
      <c r="C23" s="15" t="n">
        <v>19</v>
      </c>
      <c r="D23" s="16" t="n">
        <v>28525.05</v>
      </c>
      <c r="E23" s="16" t="n">
        <v>5657.4</v>
      </c>
      <c r="F23" s="53" t="n">
        <v>0.1983309406994904</v>
      </c>
      <c r="G23" s="15" t="n">
        <v>35</v>
      </c>
      <c r="H23" s="16" t="n">
        <v>39558.05</v>
      </c>
      <c r="I23" s="16" t="n">
        <v>8795.290000000001</v>
      </c>
      <c r="J23" s="53" t="n">
        <v>0.2223388159932049</v>
      </c>
      <c r="K23" s="15" t="n">
        <v>1</v>
      </c>
      <c r="L23" s="16" t="n">
        <v>1464.35</v>
      </c>
      <c r="M23" s="16" t="n">
        <v>302.12</v>
      </c>
      <c r="N23" s="53" t="n">
        <v>0.2063167958479872</v>
      </c>
    </row>
    <row r="24">
      <c r="A24" s="14" t="inlineStr">
        <is>
          <t>Flavia Parra</t>
        </is>
      </c>
      <c r="B24" s="14" t="inlineStr">
        <is>
          <t>February</t>
        </is>
      </c>
      <c r="C24" s="15" t="n">
        <v>23</v>
      </c>
      <c r="D24" s="16" t="n">
        <v>22247.7</v>
      </c>
      <c r="E24" s="16" t="n">
        <v>3832.59</v>
      </c>
      <c r="F24" s="53" t="n">
        <v>0.1722690435415796</v>
      </c>
      <c r="G24" s="15" t="n">
        <v>42</v>
      </c>
      <c r="H24" s="16" t="n">
        <v>43687.45</v>
      </c>
      <c r="I24" s="16" t="n">
        <v>13820.09</v>
      </c>
      <c r="J24" s="53" t="n">
        <v>0.3163400473133589</v>
      </c>
      <c r="K24" s="15" t="n">
        <v>2</v>
      </c>
      <c r="L24" s="16" t="n">
        <v>2099</v>
      </c>
      <c r="M24" s="16" t="n">
        <v>321.01</v>
      </c>
      <c r="N24" s="53" t="n">
        <v>0.152934730824202</v>
      </c>
    </row>
    <row r="25">
      <c r="A25" s="14" t="inlineStr">
        <is>
          <t>Flavia Parra</t>
        </is>
      </c>
      <c r="B25" s="14" t="inlineStr">
        <is>
          <t>March</t>
        </is>
      </c>
      <c r="C25" s="15" t="n">
        <v>27</v>
      </c>
      <c r="D25" s="16" t="n">
        <v>31269</v>
      </c>
      <c r="E25" s="16" t="n">
        <v>8642.02</v>
      </c>
      <c r="F25" s="53" t="n">
        <v>0.2763766030253606</v>
      </c>
      <c r="G25" s="15" t="n">
        <v>27</v>
      </c>
      <c r="H25" s="16" t="n">
        <v>23526.7</v>
      </c>
      <c r="I25" s="16" t="n">
        <v>9060.629999999999</v>
      </c>
      <c r="J25" s="53" t="n">
        <v>0.3851211602137146</v>
      </c>
      <c r="K25" s="15" t="n">
        <v>0</v>
      </c>
      <c r="L25" s="16" t="n">
        <v>0</v>
      </c>
      <c r="M25" s="16" t="n">
        <v>0</v>
      </c>
      <c r="N25" s="53" t="n">
        <v>0</v>
      </c>
    </row>
    <row r="26">
      <c r="A26" s="14" t="inlineStr">
        <is>
          <t>Flavia Parra</t>
        </is>
      </c>
      <c r="B26" s="14" t="inlineStr">
        <is>
          <t>April</t>
        </is>
      </c>
      <c r="C26" s="15" t="n">
        <v>23</v>
      </c>
      <c r="D26" s="16" t="n">
        <v>29581.05</v>
      </c>
      <c r="E26" s="16" t="n">
        <v>6600.51</v>
      </c>
      <c r="F26" s="53" t="n">
        <v>0.2231330530863509</v>
      </c>
      <c r="G26" s="15" t="n">
        <v>31</v>
      </c>
      <c r="H26" s="16" t="n">
        <v>30832.76</v>
      </c>
      <c r="I26" s="16" t="n">
        <v>7710.62</v>
      </c>
      <c r="J26" s="53" t="n">
        <v>0.2500788122762931</v>
      </c>
      <c r="K26" s="15" t="n">
        <v>1</v>
      </c>
      <c r="L26" s="16" t="n">
        <v>885</v>
      </c>
      <c r="M26" s="16" t="n">
        <v>885</v>
      </c>
      <c r="N26" s="53" t="n">
        <v>1</v>
      </c>
    </row>
    <row r="27">
      <c r="A27" s="24" t="inlineStr"/>
      <c r="B27" s="24" t="inlineStr">
        <is>
          <t>4-mo TOTAL</t>
        </is>
      </c>
      <c r="C27" s="54" t="n">
        <v>92</v>
      </c>
      <c r="D27" s="19" t="n">
        <v>111622.8</v>
      </c>
      <c r="E27" s="19" t="n">
        <v>24732.52</v>
      </c>
      <c r="F27" s="55" t="n">
        <v>0.2215722952658418</v>
      </c>
      <c r="G27" s="54" t="n">
        <v>135</v>
      </c>
      <c r="H27" s="19" t="n">
        <v>137604.96</v>
      </c>
      <c r="I27" s="19" t="n">
        <v>39386.63</v>
      </c>
      <c r="J27" s="55" t="n">
        <v>0.2862297260215039</v>
      </c>
      <c r="K27" s="54" t="n">
        <v>4</v>
      </c>
      <c r="L27" s="19" t="n">
        <v>4448.35</v>
      </c>
      <c r="M27" s="19" t="n">
        <v>1508.13</v>
      </c>
      <c r="N27" s="55" t="n">
        <v>0.3390313262220823</v>
      </c>
    </row>
    <row r="29">
      <c r="A29" s="14" t="inlineStr">
        <is>
          <t>Thalia Rojas</t>
        </is>
      </c>
      <c r="B29" s="14" t="inlineStr">
        <is>
          <t>January</t>
        </is>
      </c>
      <c r="C29" s="15" t="n">
        <v>10</v>
      </c>
      <c r="D29" s="16" t="n">
        <v>15503.9</v>
      </c>
      <c r="E29" s="16" t="n">
        <v>2238.28</v>
      </c>
      <c r="F29" s="53" t="n">
        <v>0.1443688362283039</v>
      </c>
      <c r="G29" s="15" t="n">
        <v>28</v>
      </c>
      <c r="H29" s="16" t="n">
        <v>33083.93</v>
      </c>
      <c r="I29" s="16" t="n">
        <v>6461.48</v>
      </c>
      <c r="J29" s="53" t="n">
        <v>0.1953056967536807</v>
      </c>
      <c r="K29" s="15" t="n">
        <v>4</v>
      </c>
      <c r="L29" s="16" t="n">
        <v>3690</v>
      </c>
      <c r="M29" s="16" t="n">
        <v>642.04</v>
      </c>
      <c r="N29" s="53" t="n">
        <v>0.1739945799457994</v>
      </c>
    </row>
    <row r="30">
      <c r="A30" s="14" t="inlineStr">
        <is>
          <t>Thalia Rojas</t>
        </is>
      </c>
      <c r="B30" s="14" t="inlineStr">
        <is>
          <t>February</t>
        </is>
      </c>
      <c r="C30" s="15" t="n">
        <v>14</v>
      </c>
      <c r="D30" s="16" t="n">
        <v>19414.25</v>
      </c>
      <c r="E30" s="16" t="n">
        <v>3640.91</v>
      </c>
      <c r="F30" s="53" t="n">
        <v>0.1875380197535315</v>
      </c>
      <c r="G30" s="15" t="n">
        <v>24</v>
      </c>
      <c r="H30" s="16" t="n">
        <v>28298.16</v>
      </c>
      <c r="I30" s="16" t="n">
        <v>5276.12</v>
      </c>
      <c r="J30" s="53" t="n">
        <v>0.186447458067945</v>
      </c>
      <c r="K30" s="15" t="n">
        <v>5</v>
      </c>
      <c r="L30" s="16" t="n">
        <v>7446</v>
      </c>
      <c r="M30" s="16" t="n">
        <v>3293.14</v>
      </c>
      <c r="N30" s="53" t="n">
        <v>0.442269674993285</v>
      </c>
    </row>
    <row r="31">
      <c r="A31" s="14" t="inlineStr">
        <is>
          <t>Thalia Rojas</t>
        </is>
      </c>
      <c r="B31" s="14" t="inlineStr">
        <is>
          <t>March</t>
        </is>
      </c>
      <c r="C31" s="15" t="n">
        <v>19</v>
      </c>
      <c r="D31" s="16" t="n">
        <v>17843.69</v>
      </c>
      <c r="E31" s="16" t="n">
        <v>4965.76</v>
      </c>
      <c r="F31" s="53" t="n">
        <v>0.2782922142225067</v>
      </c>
      <c r="G31" s="15" t="n">
        <v>19</v>
      </c>
      <c r="H31" s="16" t="n">
        <v>19840.85</v>
      </c>
      <c r="I31" s="16" t="n">
        <v>3981.64</v>
      </c>
      <c r="J31" s="53" t="n">
        <v>0.2006789023655741</v>
      </c>
      <c r="K31" s="15" t="n">
        <v>6</v>
      </c>
      <c r="L31" s="16" t="n">
        <v>5643.9</v>
      </c>
      <c r="M31" s="16" t="n">
        <v>1575.86</v>
      </c>
      <c r="N31" s="53" t="n">
        <v>0.2792147274048087</v>
      </c>
    </row>
    <row r="32">
      <c r="A32" s="14" t="inlineStr">
        <is>
          <t>Thalia Rojas</t>
        </is>
      </c>
      <c r="B32" s="14" t="inlineStr">
        <is>
          <t>April</t>
        </is>
      </c>
      <c r="C32" s="15" t="n">
        <v>9</v>
      </c>
      <c r="D32" s="16" t="n">
        <v>14099</v>
      </c>
      <c r="E32" s="16" t="n">
        <v>3941.94</v>
      </c>
      <c r="F32" s="53" t="n">
        <v>0.2795900418469395</v>
      </c>
      <c r="G32" s="15" t="n">
        <v>29</v>
      </c>
      <c r="H32" s="16" t="n">
        <v>39794.4</v>
      </c>
      <c r="I32" s="16" t="n">
        <v>7674.9</v>
      </c>
      <c r="J32" s="53" t="n">
        <v>0.1928638200349798</v>
      </c>
      <c r="K32" s="15" t="n">
        <v>3</v>
      </c>
      <c r="L32" s="16" t="n">
        <v>3617</v>
      </c>
      <c r="M32" s="16" t="n">
        <v>3096.58</v>
      </c>
      <c r="N32" s="53" t="n">
        <v>0.8561183301078241</v>
      </c>
    </row>
    <row r="33">
      <c r="A33" s="24" t="inlineStr"/>
      <c r="B33" s="24" t="inlineStr">
        <is>
          <t>4-mo TOTAL</t>
        </is>
      </c>
      <c r="C33" s="54" t="n">
        <v>52</v>
      </c>
      <c r="D33" s="19" t="n">
        <v>66860.84</v>
      </c>
      <c r="E33" s="19" t="n">
        <v>14786.89</v>
      </c>
      <c r="F33" s="55" t="n">
        <v>0.2211592017091021</v>
      </c>
      <c r="G33" s="54" t="n">
        <v>100</v>
      </c>
      <c r="H33" s="19" t="n">
        <v>121017.34</v>
      </c>
      <c r="I33" s="19" t="n">
        <v>23394.14</v>
      </c>
      <c r="J33" s="55" t="n">
        <v>0.1933122972294714</v>
      </c>
      <c r="K33" s="54" t="n">
        <v>18</v>
      </c>
      <c r="L33" s="19" t="n">
        <v>20396.9</v>
      </c>
      <c r="M33" s="19" t="n">
        <v>8607.619999999999</v>
      </c>
      <c r="N33" s="55" t="n">
        <v>0.4220062852688398</v>
      </c>
    </row>
    <row r="35">
      <c r="A35" s="14" t="inlineStr">
        <is>
          <t>Monica Valdes</t>
        </is>
      </c>
      <c r="B35" s="14" t="inlineStr">
        <is>
          <t>January</t>
        </is>
      </c>
      <c r="C35" s="15" t="n">
        <v>23</v>
      </c>
      <c r="D35" s="16" t="n">
        <v>28605.29</v>
      </c>
      <c r="E35" s="16" t="n">
        <v>6551.7</v>
      </c>
      <c r="F35" s="53" t="n">
        <v>0.2290380555484667</v>
      </c>
      <c r="G35" s="15" t="n">
        <v>37</v>
      </c>
      <c r="H35" s="16" t="n">
        <v>48612.96</v>
      </c>
      <c r="I35" s="16" t="n">
        <v>8203.879999999999</v>
      </c>
      <c r="J35" s="53" t="n">
        <v>0.1687591127962584</v>
      </c>
      <c r="K35" s="15" t="n">
        <v>6</v>
      </c>
      <c r="L35" s="16" t="n">
        <v>6502.91</v>
      </c>
      <c r="M35" s="16" t="n">
        <v>1439.3</v>
      </c>
      <c r="N35" s="53" t="n">
        <v>0.2213316807398534</v>
      </c>
    </row>
    <row r="36">
      <c r="A36" s="14" t="inlineStr">
        <is>
          <t>Monica Valdes</t>
        </is>
      </c>
      <c r="B36" s="14" t="inlineStr">
        <is>
          <t>February</t>
        </is>
      </c>
      <c r="C36" s="15" t="n">
        <v>21</v>
      </c>
      <c r="D36" s="16" t="n">
        <v>31516.95</v>
      </c>
      <c r="E36" s="16" t="n">
        <v>6512.87</v>
      </c>
      <c r="F36" s="53" t="n">
        <v>0.206646582235908</v>
      </c>
      <c r="G36" s="15" t="n">
        <v>29</v>
      </c>
      <c r="H36" s="16" t="n">
        <v>47228.18</v>
      </c>
      <c r="I36" s="16" t="n">
        <v>7155.23</v>
      </c>
      <c r="J36" s="53" t="n">
        <v>0.1515034032647457</v>
      </c>
      <c r="K36" s="15" t="n">
        <v>2</v>
      </c>
      <c r="L36" s="16" t="n">
        <v>3092</v>
      </c>
      <c r="M36" s="16" t="n">
        <v>272.87</v>
      </c>
      <c r="N36" s="53" t="n">
        <v>0.0882503234152652</v>
      </c>
    </row>
    <row r="37">
      <c r="A37" s="14" t="inlineStr">
        <is>
          <t>Monica Valdes</t>
        </is>
      </c>
      <c r="B37" s="14" t="inlineStr">
        <is>
          <t>March</t>
        </is>
      </c>
      <c r="C37" s="15" t="n">
        <v>36</v>
      </c>
      <c r="D37" s="16" t="n">
        <v>68546.22</v>
      </c>
      <c r="E37" s="16" t="n">
        <v>17019.79</v>
      </c>
      <c r="F37" s="53" t="n">
        <v>0.2482965508528406</v>
      </c>
      <c r="G37" s="15" t="n">
        <v>28</v>
      </c>
      <c r="H37" s="16" t="n">
        <v>39254.65</v>
      </c>
      <c r="I37" s="16" t="n">
        <v>5300.53</v>
      </c>
      <c r="J37" s="53" t="n">
        <v>0.135029353210384</v>
      </c>
      <c r="K37" s="15" t="n">
        <v>0</v>
      </c>
      <c r="L37" s="16" t="n">
        <v>0</v>
      </c>
      <c r="M37" s="16" t="n">
        <v>0</v>
      </c>
      <c r="N37" s="53" t="n">
        <v>0</v>
      </c>
    </row>
    <row r="38">
      <c r="A38" s="14" t="inlineStr">
        <is>
          <t>Monica Valdes</t>
        </is>
      </c>
      <c r="B38" s="14" t="inlineStr">
        <is>
          <t>April</t>
        </is>
      </c>
      <c r="C38" s="15" t="n">
        <v>22</v>
      </c>
      <c r="D38" s="16" t="n">
        <v>29755.49</v>
      </c>
      <c r="E38" s="16" t="n">
        <v>6197.26</v>
      </c>
      <c r="F38" s="53" t="n">
        <v>0.2082728262918876</v>
      </c>
      <c r="G38" s="15" t="n">
        <v>22</v>
      </c>
      <c r="H38" s="16" t="n">
        <v>35279.9</v>
      </c>
      <c r="I38" s="16" t="n">
        <v>7305.79</v>
      </c>
      <c r="J38" s="53" t="n">
        <v>0.2070808023832267</v>
      </c>
      <c r="K38" s="15" t="n">
        <v>2</v>
      </c>
      <c r="L38" s="16" t="n">
        <v>2514</v>
      </c>
      <c r="M38" s="16" t="n">
        <v>291.12</v>
      </c>
      <c r="N38" s="53" t="n">
        <v>0.115799522673031</v>
      </c>
    </row>
    <row r="39">
      <c r="A39" s="24" t="inlineStr"/>
      <c r="B39" s="24" t="inlineStr">
        <is>
          <t>4-mo TOTAL</t>
        </is>
      </c>
      <c r="C39" s="54" t="n">
        <v>102</v>
      </c>
      <c r="D39" s="19" t="n">
        <v>158423.95</v>
      </c>
      <c r="E39" s="19" t="n">
        <v>36281.62</v>
      </c>
      <c r="F39" s="55" t="n">
        <v>0.2290160042089596</v>
      </c>
      <c r="G39" s="54" t="n">
        <v>116</v>
      </c>
      <c r="H39" s="19" t="n">
        <v>170375.69</v>
      </c>
      <c r="I39" s="19" t="n">
        <v>27965.43</v>
      </c>
      <c r="J39" s="55" t="n">
        <v>0.1641397901308573</v>
      </c>
      <c r="K39" s="54" t="n">
        <v>10</v>
      </c>
      <c r="L39" s="19" t="n">
        <v>12108.91</v>
      </c>
      <c r="M39" s="19" t="n">
        <v>2003.29</v>
      </c>
      <c r="N39" s="55" t="n">
        <v>0.1654393335155683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2026-05-29T14:55:18Z</dcterms:created>
  <dcterms:modified xmlns:dcterms="http://purl.org/dc/terms/" xmlns:xsi="http://www.w3.org/2001/XMLSchema-instance" xsi:type="dcterms:W3CDTF">2026-05-29T14:55:19Z</dcterms:modified>
</cp:coreProperties>
</file>