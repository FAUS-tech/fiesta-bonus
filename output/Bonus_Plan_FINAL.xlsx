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 START HERE" sheetId="1" state="visible" r:id="rId1"/>
    <sheet xmlns:r="http://schemas.openxmlformats.org/officeDocument/2006/relationships" name="Executive Summary" sheetId="2" state="visible" r:id="rId2"/>
    <sheet xmlns:r="http://schemas.openxmlformats.org/officeDocument/2006/relationships" name="The Bonus Plan" sheetId="3" state="visible" r:id="rId3"/>
    <sheet xmlns:r="http://schemas.openxmlformats.org/officeDocument/2006/relationships" name="Minimum Requirements" sheetId="4" state="visible" r:id="rId4"/>
    <sheet xmlns:r="http://schemas.openxmlformats.org/officeDocument/2006/relationships" name="Why Current Drops" sheetId="5" state="visible" r:id="rId5"/>
    <sheet xmlns:r="http://schemas.openxmlformats.org/officeDocument/2006/relationships" name="Agent Examples - Real" sheetId="6" state="visible" r:id="rId6"/>
    <sheet xmlns:r="http://schemas.openxmlformats.org/officeDocument/2006/relationships" name="Agent Examples - 50% Swap" sheetId="7" state="visible" r:id="rId7"/>
    <sheet xmlns:r="http://schemas.openxmlformats.org/officeDocument/2006/relationships" name="Agent Examples - 100% Flip" sheetId="8" state="visible" r:id="rId8"/>
    <sheet xmlns:r="http://schemas.openxmlformats.org/officeDocument/2006/relationships" name="Source Data" sheetId="9" state="visible" r:id="rId9"/>
    <sheet xmlns:r="http://schemas.openxmlformats.org/officeDocument/2006/relationships" name="Safe Net Explained" sheetId="10" state="visible" r:id="rId10"/>
    <sheet xmlns:r="http://schemas.openxmlformats.org/officeDocument/2006/relationships" name="Collected Kicker Logic" sheetId="11" state="visible" r:id="rId11"/>
    <sheet xmlns:r="http://schemas.openxmlformats.org/officeDocument/2006/relationships" name="Profitability Cap" sheetId="12" state="visible" r:id="rId12"/>
    <sheet xmlns:r="http://schemas.openxmlformats.org/officeDocument/2006/relationships" name="Chargeback Process" sheetId="13" state="visible" r:id="rId13"/>
    <sheet xmlns:r="http://schemas.openxmlformats.org/officeDocument/2006/relationships" name="Manual Tracker Template" sheetId="14" state="visible" r:id="rId14"/>
    <sheet xmlns:r="http://schemas.openxmlformats.org/officeDocument/2006/relationships" name="Assumptions" sheetId="15" state="visible" r:id="rId15"/>
  </sheets>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14">
    <font>
      <name val="Calibri"/>
      <family val="2"/>
      <color theme="1"/>
      <sz val="11"/>
      <scheme val="minor"/>
    </font>
    <font>
      <b val="1"/>
      <color rgb="001F4E78"/>
      <sz val="16"/>
    </font>
    <font>
      <b val="1"/>
      <sz val="11"/>
    </font>
    <font>
      <i val="1"/>
      <color rgb="00666666"/>
      <sz val="10"/>
    </font>
    <font>
      <b val="1"/>
      <color rgb="00FFFFFF"/>
      <sz val="12"/>
    </font>
    <font>
      <b val="1"/>
      <color rgb="00FFFFFF"/>
      <sz val="11"/>
    </font>
    <font>
      <b val="1"/>
    </font>
    <font>
      <i val="1"/>
      <sz val="11"/>
    </font>
    <font>
      <sz val="11"/>
    </font>
    <font>
      <i val="1"/>
      <color rgb="001F4E78"/>
      <sz val="11"/>
    </font>
    <font>
      <b val="1"/>
      <color rgb="00006100"/>
    </font>
    <font>
      <sz val="12"/>
    </font>
    <font>
      <b val="1"/>
      <color rgb="009C0006"/>
    </font>
    <font>
      <b val="1"/>
      <color rgb="001F4E78"/>
      <sz val="11"/>
    </font>
  </fonts>
  <fills count="12">
    <fill>
      <patternFill/>
    </fill>
    <fill>
      <patternFill patternType="gray125"/>
    </fill>
    <fill>
      <patternFill patternType="solid">
        <fgColor rgb="002E75B6"/>
      </patternFill>
    </fill>
    <fill>
      <patternFill patternType="solid">
        <fgColor rgb="001F4E78"/>
      </patternFill>
    </fill>
    <fill>
      <patternFill patternType="solid">
        <fgColor rgb="00F4B084"/>
      </patternFill>
    </fill>
    <fill>
      <patternFill patternType="solid">
        <fgColor rgb="00E2EFDA"/>
      </patternFill>
    </fill>
    <fill>
      <patternFill patternType="solid">
        <fgColor rgb="00FFF2CC"/>
      </patternFill>
    </fill>
    <fill>
      <patternFill patternType="solid">
        <fgColor rgb="00BDD7EE"/>
      </patternFill>
    </fill>
    <fill>
      <patternFill patternType="solid">
        <fgColor rgb="00C6EFCE"/>
      </patternFill>
    </fill>
    <fill>
      <patternFill patternType="solid">
        <fgColor rgb="00FFFFFF"/>
      </patternFill>
    </fill>
    <fill>
      <patternFill patternType="solid">
        <fgColor rgb="00FFC7CE"/>
      </patternFill>
    </fill>
    <fill>
      <patternFill patternType="solid">
        <fgColor rgb="00FFEB9C"/>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6" fillId="4" borderId="1" applyAlignment="1" pivotButton="0" quotePrefix="0" xfId="0">
      <alignment horizontal="left" vertical="center" wrapText="1"/>
    </xf>
    <xf numFmtId="164" fontId="0" fillId="4" borderId="1" applyAlignment="1" pivotButton="0" quotePrefix="0" xfId="0">
      <alignment horizontal="right" vertical="center"/>
    </xf>
    <xf numFmtId="0" fontId="0" fillId="4" borderId="1" applyAlignment="1" pivotButton="0" quotePrefix="0" xfId="0">
      <alignment horizontal="left" vertical="center" wrapText="1"/>
    </xf>
    <xf numFmtId="0" fontId="6" fillId="5" borderId="1" applyAlignment="1" pivotButton="0" quotePrefix="0" xfId="0">
      <alignment horizontal="left" vertical="center" wrapText="1"/>
    </xf>
    <xf numFmtId="164" fontId="0" fillId="5" borderId="1" applyAlignment="1" pivotButton="0" quotePrefix="0" xfId="0">
      <alignment horizontal="right" vertical="center"/>
    </xf>
    <xf numFmtId="0" fontId="0" fillId="5" borderId="1" applyAlignment="1" pivotButton="0" quotePrefix="0" xfId="0">
      <alignment horizontal="left" vertical="center" wrapText="1"/>
    </xf>
    <xf numFmtId="0" fontId="6" fillId="6" borderId="1" applyAlignment="1" pivotButton="0" quotePrefix="0" xfId="0">
      <alignment horizontal="left" vertical="center" wrapText="1"/>
    </xf>
    <xf numFmtId="164" fontId="0" fillId="6" borderId="1" applyAlignment="1" pivotButton="0" quotePrefix="0" xfId="0">
      <alignment horizontal="right" vertical="center"/>
    </xf>
    <xf numFmtId="0" fontId="0" fillId="6" borderId="1" applyAlignment="1" pivotButton="0" quotePrefix="0" xfId="0">
      <alignment horizontal="left" vertical="center" wrapText="1"/>
    </xf>
    <xf numFmtId="0" fontId="7" fillId="0" borderId="0" applyAlignment="1" pivotButton="0" quotePrefix="0" xfId="0">
      <alignment wrapText="1"/>
    </xf>
    <xf numFmtId="0" fontId="0" fillId="0" borderId="1" applyAlignment="1" pivotButton="0" quotePrefix="0" xfId="0">
      <alignment horizontal="left" vertical="center" wrapText="1"/>
    </xf>
    <xf numFmtId="3" fontId="0" fillId="0" borderId="1" applyAlignment="1" pivotButton="0" quotePrefix="0" xfId="0">
      <alignment horizontal="right" vertical="center"/>
    </xf>
    <xf numFmtId="164" fontId="0" fillId="0" borderId="1" applyAlignment="1" pivotButton="0" quotePrefix="0" xfId="0">
      <alignment horizontal="right" vertical="center"/>
    </xf>
    <xf numFmtId="164" fontId="6" fillId="5" borderId="1" applyAlignment="1" pivotButton="0" quotePrefix="0" xfId="0">
      <alignment horizontal="right" vertical="center"/>
    </xf>
    <xf numFmtId="164" fontId="6" fillId="6" borderId="1" applyAlignment="1" pivotButton="0" quotePrefix="0" xfId="0">
      <alignment horizontal="right" vertical="center"/>
    </xf>
    <xf numFmtId="0" fontId="6" fillId="7" borderId="0" pivotButton="0" quotePrefix="0" xfId="0"/>
    <xf numFmtId="164" fontId="6" fillId="7" borderId="1" applyAlignment="1" pivotButton="0" quotePrefix="0" xfId="0">
      <alignment horizontal="right" vertical="center"/>
    </xf>
    <xf numFmtId="0" fontId="8" fillId="0" borderId="0" applyAlignment="1" pivotButton="0" quotePrefix="0" xfId="0">
      <alignment vertical="top" wrapText="1"/>
    </xf>
    <xf numFmtId="0" fontId="1" fillId="5" borderId="0" pivotButton="0" quotePrefix="0" xfId="0"/>
    <xf numFmtId="0" fontId="9" fillId="0" borderId="0" pivotButton="0" quotePrefix="0" xfId="0"/>
    <xf numFmtId="0" fontId="0" fillId="8" borderId="1" applyAlignment="1" pivotButton="0" quotePrefix="0" xfId="0">
      <alignment horizontal="left" vertical="center" wrapText="1"/>
    </xf>
    <xf numFmtId="0" fontId="6" fillId="7" borderId="1" applyAlignment="1" pivotButton="0" quotePrefix="0" xfId="0">
      <alignment horizontal="left" vertical="center" wrapText="1"/>
    </xf>
    <xf numFmtId="0" fontId="0" fillId="7" borderId="1" applyAlignment="1" pivotButton="0" quotePrefix="0" xfId="0">
      <alignment horizontal="left" vertical="center" wrapText="1"/>
    </xf>
    <xf numFmtId="0" fontId="0" fillId="9" borderId="1" applyAlignment="1" pivotButton="0" quotePrefix="0" xfId="0">
      <alignment horizontal="left" vertical="center" wrapText="1"/>
    </xf>
    <xf numFmtId="0" fontId="0" fillId="10"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0" borderId="0" applyAlignment="1" pivotButton="0" quotePrefix="0" xfId="0">
      <alignment wrapText="1"/>
    </xf>
    <xf numFmtId="0" fontId="12" fillId="10" borderId="1" applyAlignment="1" pivotButton="0" quotePrefix="0" xfId="0">
      <alignment horizontal="left" vertical="center" wrapText="1"/>
    </xf>
    <xf numFmtId="165" fontId="0" fillId="0" borderId="1" applyAlignment="1" pivotButton="0" quotePrefix="0" xfId="0">
      <alignment horizontal="right" vertical="center"/>
    </xf>
    <xf numFmtId="0" fontId="13" fillId="5" borderId="0" pivotButton="0" quotePrefix="0" xfId="0"/>
    <xf numFmtId="0" fontId="0" fillId="11" borderId="1" applyAlignment="1" pivotButton="0" quotePrefix="0" xfId="0">
      <alignment horizontal="left" vertical="center" wrapText="1"/>
    </xf>
    <xf numFmtId="0" fontId="0" fillId="7" borderId="0" pivotButton="0" quotePrefix="0" xfId="0"/>
    <xf numFmtId="0" fontId="13" fillId="6" borderId="0" pivotButton="0" quotePrefix="0" xfId="0"/>
    <xf numFmtId="165" fontId="0" fillId="6" borderId="1" applyAlignment="1" pivotButton="0" quotePrefix="0" xfId="0">
      <alignment horizontal="right" vertical="center"/>
    </xf>
    <xf numFmtId="3" fontId="6" fillId="7" borderId="1" applyAlignment="1" pivotButton="0" quotePrefix="0" xfId="0">
      <alignment horizontal="right" vertical="center"/>
    </xf>
    <xf numFmtId="165" fontId="6" fillId="7" borderId="1" applyAlignment="1" pivotButton="0" quotePrefix="0" xfId="0">
      <alignment horizontal="right" vertical="center"/>
    </xf>
    <xf numFmtId="0" fontId="8"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8" customWidth="1" min="1" max="1"/>
    <col width="110" customWidth="1" min="2" max="2"/>
  </cols>
  <sheetData>
    <row r="1">
      <c r="A1" s="1" t="inlineStr">
        <is>
          <t>Fiesta Bonus Plan Proposal - START HERE</t>
        </is>
      </c>
    </row>
    <row r="2" ht="30" customHeight="1">
      <c r="A2" s="2" t="inlineStr"/>
      <c r="B2" s="3" t="inlineStr"/>
    </row>
    <row r="3" ht="30" customHeight="1">
      <c r="A3" s="2">
        <f>==== TL;DR (read this first) =====</f>
        <v/>
      </c>
      <c r="B3" s="3" t="inlineStr"/>
    </row>
    <row r="4" ht="30" customHeight="1">
      <c r="A4" s="2" t="inlineStr">
        <is>
          <t>What this is</t>
        </is>
      </c>
      <c r="B4" s="3" t="inlineStr">
        <is>
          <t>A proposal for a new agent bonus plan. The current plan rewards REWRITING customers (bad for retention). The new plan rewards writing new business AND keeping customers (renewing) AND collecting more money up-front AND selling good coverage.</t>
        </is>
      </c>
    </row>
    <row r="5" ht="30" customHeight="1">
      <c r="A5" s="2" t="inlineStr">
        <is>
          <t>Bottom line (4-month total, 6 agents)</t>
        </is>
      </c>
      <c r="B5" s="3" t="inlineStr">
        <is>
          <t>TODAY: $12,220 paid out under current plan. RECOMMENDED Plan B with $35k/$20k minimums: $3,766 today (less, because agents still rewriting), $7,578 if half the rewrites become renewals, $10,545 if all rewrites had been renewals (86% of today). The new plan pays LESS for the wrong behavior and CLOSE TO TODAY for the right behavior.</t>
        </is>
      </c>
    </row>
    <row r="6" ht="30" customHeight="1">
      <c r="A6" s="2" t="inlineStr">
        <is>
          <t>Recommendation</t>
        </is>
      </c>
      <c r="B6" s="3" t="inlineStr">
        <is>
          <t>Plan B (Coverage-Based) with $35,000 NB / $20,000 REN monthly minimums. Pilot 90 days side-by-side with the current plan, pay agents the HIGHER of the two during the pilot.</t>
        </is>
      </c>
    </row>
    <row r="7" ht="30" customHeight="1">
      <c r="A7" s="2" t="inlineStr">
        <is>
          <t>How to read the rest</t>
        </is>
      </c>
      <c r="B7" s="3" t="inlineStr">
        <is>
          <t>Start with Executive Summary -&gt; Plan B Rules -&gt; Agent Examples. Use Glossary below to look up terms (NB, RWR, REN, BI, UM, PIF, FLIP, SWAP, etc.).</t>
        </is>
      </c>
    </row>
    <row r="8" ht="30" customHeight="1">
      <c r="A8" s="2" t="inlineStr"/>
      <c r="B8" s="3" t="inlineStr"/>
    </row>
    <row r="9" ht="30" customHeight="1">
      <c r="A9" s="2">
        <f>==== GLOSSARY =====</f>
        <v/>
      </c>
      <c r="B9" s="3" t="inlineStr"/>
    </row>
    <row r="10" ht="30" customHeight="1">
      <c r="A10" s="2" t="inlineStr">
        <is>
          <t>NB</t>
        </is>
      </c>
      <c r="B10" s="3" t="inlineStr">
        <is>
          <t>NEW BUSINESS - first time the customer is on the books. Brand new policy.</t>
        </is>
      </c>
    </row>
    <row r="11" ht="30" customHeight="1">
      <c r="A11" s="2" t="inlineStr">
        <is>
          <t>RWR</t>
        </is>
      </c>
      <c r="B11" s="3" t="inlineStr">
        <is>
          <t>REWRITE - cancel an existing policy and write a NEW one (usually at a different carrier). Customer ends up with a brand new 6-month term. Churns the book.</t>
        </is>
      </c>
    </row>
    <row r="12" ht="30" customHeight="1">
      <c r="A12" s="2" t="inlineStr">
        <is>
          <t>REN</t>
        </is>
      </c>
      <c r="B12" s="3" t="inlineStr">
        <is>
          <t>RENEWAL - the existing policy renews at the SAME carrier. Customer stays put.</t>
        </is>
      </c>
    </row>
    <row r="13" ht="30" customHeight="1">
      <c r="A13" s="2" t="inlineStr">
        <is>
          <t>PIF</t>
        </is>
      </c>
      <c r="B13" s="3" t="inlineStr">
        <is>
          <t>PAID IN FULL - customer pays the entire premium upfront. Zero chargeback risk.</t>
        </is>
      </c>
    </row>
    <row r="14" ht="30" customHeight="1">
      <c r="A14" s="2" t="inlineStr">
        <is>
          <t>BI</t>
        </is>
      </c>
      <c r="B14" s="3" t="inlineStr">
        <is>
          <t>BODILY INJURY liability - pays the OTHER person's injuries if your customer caused the accident.</t>
        </is>
      </c>
    </row>
    <row r="15" ht="30" customHeight="1">
      <c r="A15" s="2" t="inlineStr">
        <is>
          <t>UM</t>
        </is>
      </c>
      <c r="B15" s="3" t="inlineStr">
        <is>
          <t>UNINSURED MOTORIST - pays YOUR customer's injuries if hit by an uninsured driver. Cannot be added without BI.</t>
        </is>
      </c>
    </row>
    <row r="16" ht="30" customHeight="1">
      <c r="A16" s="2" t="inlineStr">
        <is>
          <t>PIP</t>
        </is>
      </c>
      <c r="B16" s="3" t="inlineStr">
        <is>
          <t>PERSONAL INJURY PROTECTION - covers your customer's own medical bills. Required in FL.</t>
        </is>
      </c>
    </row>
    <row r="17" ht="30" customHeight="1">
      <c r="A17" s="2" t="inlineStr">
        <is>
          <t>PD</t>
        </is>
      </c>
      <c r="B17" s="3" t="inlineStr">
        <is>
          <t>PROPERTY DAMAGE liability - damage your customer caused to OTHER property. Required in FL.</t>
        </is>
      </c>
    </row>
    <row r="18" ht="30" customHeight="1">
      <c r="A18" s="2" t="inlineStr">
        <is>
          <t>Comp / Coll</t>
        </is>
      </c>
      <c r="B18" s="3" t="inlineStr">
        <is>
          <t>COMPREHENSIVE / COLLISION - damage to your customer's OWN car. Usually required by lienholders.</t>
        </is>
      </c>
    </row>
    <row r="19" ht="30" customHeight="1">
      <c r="A19" s="2" t="inlineStr">
        <is>
          <t>Collected %</t>
        </is>
      </c>
      <c r="B19" s="3" t="inlineStr">
        <is>
          <t>The % of total premium the customer actually paid. Down payment / total = collected %.</t>
        </is>
      </c>
    </row>
    <row r="20" ht="30" customHeight="1">
      <c r="A20" s="2" t="inlineStr">
        <is>
          <t>Safe Net</t>
        </is>
      </c>
      <c r="B20" s="3" t="inlineStr">
        <is>
          <t>Money left in the agency after corporate royalty (21%) and overhead (30%). The bonus comes out of safe net.</t>
        </is>
      </c>
    </row>
    <row r="21" ht="30" customHeight="1">
      <c r="A21" s="2" t="inlineStr">
        <is>
          <t>Chargeback</t>
        </is>
      </c>
      <c r="B21" s="3" t="inlineStr">
        <is>
          <t>If a policy cancels mid-term, the carrier reverses unearned commission. Bonus on that policy is also reversed if cancel happens within 90 days.</t>
        </is>
      </c>
    </row>
    <row r="22" ht="30" customHeight="1">
      <c r="A22" s="2" t="inlineStr">
        <is>
          <t>Kicker</t>
        </is>
      </c>
      <c r="B22" s="3" t="inlineStr">
        <is>
          <t>Bonus multiplier based on collected %. Higher down payment = bigger multiplier.</t>
        </is>
      </c>
    </row>
    <row r="23" ht="30" customHeight="1">
      <c r="A23" s="2" t="inlineStr">
        <is>
          <t>Minimum / Gate</t>
        </is>
      </c>
      <c r="B23" s="3" t="inlineStr">
        <is>
          <t>A monthly premium threshold the agent must clear to earn that bonus line.</t>
        </is>
      </c>
    </row>
    <row r="24" ht="30" customHeight="1">
      <c r="A24" s="2" t="inlineStr">
        <is>
          <t>FLIP scenario</t>
        </is>
      </c>
      <c r="B24" s="3" t="inlineStr">
        <is>
          <t>Hypothetical: "what if all rewrites had been renewals?" The strongest behavior-change test.</t>
        </is>
      </c>
    </row>
    <row r="25" ht="30" customHeight="1">
      <c r="A25" s="2" t="inlineStr">
        <is>
          <t>SWAP scenario</t>
        </is>
      </c>
      <c r="B25" s="3" t="inlineStr">
        <is>
          <t>Hypothetical: "what if half the rewrites became renewals?" A realistic transition target.</t>
        </is>
      </c>
    </row>
    <row r="26" ht="30" customHeight="1">
      <c r="A26" s="2" t="inlineStr"/>
      <c r="B26" s="3" t="inlineStr"/>
    </row>
    <row r="27" ht="30" customHeight="1">
      <c r="A27" s="2">
        <f>==== THE TWO PROPOSALS =====</f>
        <v/>
      </c>
      <c r="B27" s="3" t="inlineStr"/>
    </row>
    <row r="28" ht="30" customHeight="1">
      <c r="A28" s="2" t="inlineStr">
        <is>
          <t>Proposal A - Premium-Based</t>
        </is>
      </c>
      <c r="B28" s="3" t="inlineStr">
        <is>
          <t>Bonus is tiered by WRITTEN PREMIUM. Bigger premium = bigger per-policy bonus. No coverage add-ons. Simple payroll math, lower cost.</t>
        </is>
      </c>
    </row>
    <row r="29" ht="30" customHeight="1">
      <c r="A29" s="2" t="inlineStr">
        <is>
          <t>Proposal B - Coverage-Based (RECOMMENDED)</t>
        </is>
      </c>
      <c r="B29" s="3" t="inlineStr">
        <is>
          <t>Bonus is per-policy by COVERAGE TYPE. $11 NB base + $6 if BI+UM bundle present. No premium tiers. Same collected kicker as A. Best motivator and closest to today's pay when behavior shifts.</t>
        </is>
      </c>
    </row>
    <row r="30" ht="30" customHeight="1">
      <c r="A30" s="2" t="inlineStr"/>
      <c r="B30" s="3" t="inlineStr"/>
    </row>
    <row r="31" ht="30" customHeight="1">
      <c r="A31" s="2">
        <f>==== KEY MECHANICS =====</f>
        <v/>
      </c>
      <c r="B31" s="3" t="inlineStr"/>
    </row>
    <row r="32" ht="30" customHeight="1">
      <c r="A32" s="2" t="inlineStr">
        <is>
          <t>Important Constraint</t>
        </is>
      </c>
      <c r="B32" s="3" t="inlineStr">
        <is>
          <t>Do NOT mix Plan A and Plan B. They are separate models. Pick one.</t>
        </is>
      </c>
    </row>
    <row r="33" ht="30" customHeight="1">
      <c r="A33" s="2" t="inlineStr">
        <is>
          <t>Why Renewals Now Pay Separately</t>
        </is>
      </c>
      <c r="B33" s="3" t="inlineStr">
        <is>
          <t>Today's plan pays nothing for renewals - so agents have no incentive to keep the customer. The new plans pay $5-$11 per renewal (REN line) so retention is finally rewarded.</t>
        </is>
      </c>
    </row>
    <row r="34" ht="30" customHeight="1">
      <c r="A34" s="2" t="inlineStr">
        <is>
          <t>Why the 50%-Swap and 100%-Flip Examples</t>
        </is>
      </c>
      <c r="B34" s="3" t="inlineStr">
        <is>
          <t>Today agents are mostly rewriting. To prove the new plan rewards the shift to renewing, each agent example is ALSO run with: (a) 50% of rewrites converted to renewals, and (b) 100% of rewrites flipped to renewals. Same dollars, just reclassified.</t>
        </is>
      </c>
    </row>
    <row r="35" ht="30" customHeight="1">
      <c r="A35" s="2" t="inlineStr">
        <is>
          <t>Profit Protection</t>
        </is>
      </c>
      <c r="B35" s="3" t="inlineStr">
        <is>
          <t>Bonus paid = target (no automatic cap). Three protections instead: (1) MINIMUM REQUIREMENTS gate each bonus line, (2) 40% REVIEW THRESHOLD flags outlier months for ownership, (3) 90-DAY CHARGEBACK reverses bonus on policies that cancel/rewrite within 90 days.</t>
        </is>
      </c>
    </row>
    <row r="36" ht="30" customHeight="1">
      <c r="A36" s="2" t="inlineStr">
        <is>
          <t>Minimum Requirement (NEW)</t>
        </is>
      </c>
      <c r="B36" s="3" t="inlineStr">
        <is>
          <t>NB minimum: $45,000 written premium/mo. REN minimum: retain 30% of agent assigned book. RWR minimum: NB minimum met (paid alongside NB). Replaces today's 35-policy NB+RWR floor.</t>
        </is>
      </c>
    </row>
    <row r="37" ht="30" customHeight="1">
      <c r="A37" s="2" t="inlineStr"/>
      <c r="B37" s="3" t="inlineStr"/>
    </row>
    <row r="38" ht="30" customHeight="1">
      <c r="A38" s="2" t="inlineStr">
        <is>
          <t>Sheet Map</t>
        </is>
      </c>
      <c r="B38" s="3" t="inlineStr"/>
    </row>
    <row r="39" ht="30" customHeight="1">
      <c r="A39" s="2" t="inlineStr">
        <is>
          <t xml:space="preserve">  1. Executive Summary</t>
        </is>
      </c>
      <c r="B39" s="3" t="inlineStr">
        <is>
          <t>Bottom-line comparison: Current vs A vs B for all 6 agents across 4 months. Real + 50% swap. Both no-min and with-min totals.</t>
        </is>
      </c>
    </row>
    <row r="40" ht="30" customHeight="1">
      <c r="A40" s="2" t="inlineStr">
        <is>
          <t xml:space="preserve">  2. Safe Net Explained</t>
        </is>
      </c>
      <c r="B40" s="3" t="inlineStr">
        <is>
          <t>PLAIN-LANGUAGE walk-through of what safe net is, with single-policy and full-month worked numbers.</t>
        </is>
      </c>
    </row>
    <row r="41" ht="30" customHeight="1">
      <c r="A41" s="2" t="inlineStr">
        <is>
          <t xml:space="preserve">  3. Minimum Requirements</t>
        </is>
      </c>
      <c r="B41" s="3" t="inlineStr">
        <is>
          <t>How the $45,000 NB and 30% retention gates work.</t>
        </is>
      </c>
    </row>
    <row r="42" ht="30" customHeight="1">
      <c r="A42" s="2" t="inlineStr">
        <is>
          <t xml:space="preserve">  4. Why Current Drops</t>
        </is>
      </c>
      <c r="B42" s="3" t="inlineStr">
        <is>
          <t>Direct answer: why the current bonus drops when RWR converts to REN, even though "renewals pay more than rewrites" is true under the new plans.</t>
        </is>
      </c>
    </row>
    <row r="43" ht="30" customHeight="1">
      <c r="A43" s="2" t="inlineStr">
        <is>
          <t xml:space="preserve">  5. Previous vs New Detailed</t>
        </is>
      </c>
      <c r="B43" s="3" t="inlineStr">
        <is>
          <t>Agent-by-agent dollar comparison: today vs no-min vs with-min, by month.</t>
        </is>
      </c>
    </row>
    <row r="44" ht="30" customHeight="1">
      <c r="A44" s="2" t="inlineStr">
        <is>
          <t xml:space="preserve">  6. Rules Side by Side</t>
        </is>
      </c>
      <c r="B44" s="3" t="inlineStr">
        <is>
          <t>One-row-per-rule comparison of the three plans (current + A + B).</t>
        </is>
      </c>
    </row>
    <row r="45" ht="30" customHeight="1">
      <c r="A45" s="2" t="inlineStr">
        <is>
          <t xml:space="preserve">  7. Proposal A Rules</t>
        </is>
      </c>
      <c r="B45" s="3" t="inlineStr">
        <is>
          <t>Full payout tables for the PREMIUM-based plan.</t>
        </is>
      </c>
    </row>
    <row r="46" ht="30" customHeight="1">
      <c r="A46" s="2" t="inlineStr">
        <is>
          <t xml:space="preserve">  8. Proposal B Rules</t>
        </is>
      </c>
      <c r="B46" s="3" t="inlineStr">
        <is>
          <t>Full payout tables for the COVERAGE-based plan.</t>
        </is>
      </c>
    </row>
    <row r="47" ht="30" customHeight="1">
      <c r="A47" s="2" t="inlineStr">
        <is>
          <t xml:space="preserve">  9. Worked Examples</t>
        </is>
      </c>
      <c r="B47" s="3" t="inlineStr">
        <is>
          <t>Hand-built single-policy walk-throughs.</t>
        </is>
      </c>
    </row>
    <row r="48" ht="30" customHeight="1">
      <c r="A48" s="2" t="inlineStr">
        <is>
          <t xml:space="preserve">  10. Agent Examples - Real</t>
        </is>
      </c>
      <c r="B48" s="3" t="inlineStr">
        <is>
          <t>Month-by-month bonus for the 6 agents on actual Jan-Apr 2026 data, both proposals, with policy counts.</t>
        </is>
      </c>
    </row>
    <row r="49" ht="30" customHeight="1">
      <c r="A49" s="2" t="inlineStr">
        <is>
          <t xml:space="preserve">  11. Agent Examples - 50% Swap</t>
        </is>
      </c>
      <c r="B49" s="3" t="inlineStr">
        <is>
          <t>Same 6 agents, 50% of RWR moved to REN. Shows future-state earnings.</t>
        </is>
      </c>
    </row>
    <row r="50" ht="30" customHeight="1">
      <c r="A50" s="2" t="inlineStr">
        <is>
          <t xml:space="preserve">  12. Real vs Swap Comparison</t>
        </is>
      </c>
      <c r="B50" s="3" t="inlineStr">
        <is>
          <t>Side-by-side 4-month total delta showing the renewal-shift upside per agent.</t>
        </is>
      </c>
    </row>
    <row r="51" ht="30" customHeight="1">
      <c r="A51" s="2" t="inlineStr">
        <is>
          <t xml:space="preserve">  13. Coverage Bundle Logic</t>
        </is>
      </c>
      <c r="B51" s="3" t="inlineStr">
        <is>
          <t>Why BI+UM is bundled and why BI alone does not qualify.</t>
        </is>
      </c>
    </row>
    <row r="52" ht="30" customHeight="1">
      <c r="A52" s="2" t="inlineStr">
        <is>
          <t xml:space="preserve">  14. Collected Kicker Logic</t>
        </is>
      </c>
      <c r="B52" s="3" t="inlineStr">
        <is>
          <t>How the collected % multiplier works.</t>
        </is>
      </c>
    </row>
    <row r="53" ht="30" customHeight="1">
      <c r="A53" s="2" t="inlineStr">
        <is>
          <t xml:space="preserve">  15. Profitability Cap</t>
        </is>
      </c>
      <c r="B53" s="3" t="inlineStr">
        <is>
          <t>How the safe-net review threshold protects ownership.</t>
        </is>
      </c>
    </row>
    <row r="54" ht="30" customHeight="1">
      <c r="A54" s="2" t="inlineStr">
        <is>
          <t xml:space="preserve">  16. Chargeback Process</t>
        </is>
      </c>
      <c r="B54" s="3" t="inlineStr">
        <is>
          <t>90-day cancellation/rewrite reversal procedure.</t>
        </is>
      </c>
    </row>
    <row r="55" ht="30" customHeight="1">
      <c r="A55" s="2" t="inlineStr">
        <is>
          <t xml:space="preserve">  17. Agent Quick Reference</t>
        </is>
      </c>
      <c r="B55" s="3" t="inlineStr">
        <is>
          <t>One-page printable for the agent floor.</t>
        </is>
      </c>
    </row>
    <row r="56" ht="30" customHeight="1">
      <c r="A56" s="2" t="inlineStr">
        <is>
          <t xml:space="preserve">  18. Manual Tracker Template</t>
        </is>
      </c>
      <c r="B56" s="3" t="inlineStr">
        <is>
          <t>Monthly template for verified bonus tracking.</t>
        </is>
      </c>
    </row>
    <row r="57" ht="30" customHeight="1">
      <c r="A57" s="2" t="inlineStr">
        <is>
          <t xml:space="preserve">  19. Assumptions</t>
        </is>
      </c>
      <c r="B57" s="3" t="inlineStr">
        <is>
          <t>All economic and modeling assumptions in one place.</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7" customWidth="1" min="3" max="3"/>
    <col width="7" customWidth="1" min="4" max="4"/>
    <col width="7" customWidth="1" min="5" max="5"/>
    <col width="11" customWidth="1" min="6" max="6"/>
    <col width="11" customWidth="1" min="7" max="7"/>
    <col width="12" customWidth="1" min="8" max="8"/>
    <col width="11" customWidth="1" min="9" max="9"/>
    <col width="12" customWidth="1" min="10" max="10"/>
    <col width="14" customWidth="1" min="11" max="11"/>
    <col width="14" customWidth="1" min="12" max="12"/>
  </cols>
  <sheetData>
    <row r="1">
      <c r="A1" s="1" t="inlineStr">
        <is>
          <t>Executive Summary - Current vs Plan A vs Plan B</t>
        </is>
      </c>
    </row>
    <row r="2">
      <c r="A2" s="4" t="inlineStr">
        <is>
          <t>Six agents (Abel, Dialinerys, Melissa, Flavia, Thalia, Monica) over four months (Jan-Apr 2026). Each plan is shown two ways: WITHOUT minimums (calculated target) and WITH the recommended minimums (NB premium &gt;= $45,000/mo; REN gated by retention (model assumes 75% &gt;= 30% threshold); RWR gated by NB).</t>
        </is>
      </c>
    </row>
    <row r="4">
      <c r="A4" s="5" t="inlineStr">
        <is>
          <t>HEADLINE - 4-MONTH TOTALS ACROSS 3 SCENARIOS (6 agents)</t>
        </is>
      </c>
    </row>
    <row r="5">
      <c r="A5" s="6" t="inlineStr">
        <is>
          <t>Plan</t>
        </is>
      </c>
      <c r="B5" s="6" t="inlineStr">
        <is>
          <t>REAL (today)</t>
        </is>
      </c>
      <c r="C5" s="6" t="inlineStr">
        <is>
          <t>50% SWAP (RWR-&gt;REN)</t>
        </is>
      </c>
      <c r="D5" s="6" t="inlineStr">
        <is>
          <t>100% FLIP (RWR&lt;-&gt;REN)</t>
        </is>
      </c>
      <c r="E5" s="6" t="inlineStr">
        <is>
          <t>Read</t>
        </is>
      </c>
    </row>
    <row r="6" ht="30" customHeight="1">
      <c r="A6" s="7" t="inlineStr">
        <is>
          <t>Current plan (today)</t>
        </is>
      </c>
      <c r="B6" s="8" t="n">
        <v>12220</v>
      </c>
      <c r="C6" s="8" t="n">
        <v>7110</v>
      </c>
      <c r="D6" s="8" t="n">
        <v>2750</v>
      </c>
      <c r="E6" s="9" t="inlineStr">
        <is>
          <t>DROPS hard - the current plan only counts NB+RWR, so any shift toward REN cuts the bonus.</t>
        </is>
      </c>
    </row>
    <row r="7" ht="30" customHeight="1">
      <c r="A7" s="10" t="inlineStr">
        <is>
          <t>Plan A - no minimum</t>
        </is>
      </c>
      <c r="B7" s="11" t="n">
        <v>11841.91676666667</v>
      </c>
      <c r="C7" s="11" t="n">
        <v>13078.83037222222</v>
      </c>
      <c r="D7" s="11" t="n">
        <v>13729.91676666667</v>
      </c>
      <c r="E7" s="12" t="inlineStr">
        <is>
          <t>Grows steadily as behavior shifts toward renewals.</t>
        </is>
      </c>
    </row>
    <row r="8" ht="30" customHeight="1">
      <c r="A8" s="10" t="inlineStr">
        <is>
          <t>Plan A WITH $45k/$0k MIN</t>
        </is>
      </c>
      <c r="B8" s="11" t="n">
        <v>7452.005044444445</v>
      </c>
      <c r="C8" s="11" t="n">
        <v>9529.59023888889</v>
      </c>
      <c r="D8" s="11" t="n">
        <v>10818.24337777778</v>
      </c>
      <c r="E8" s="12" t="inlineStr">
        <is>
          <t>Same direction - REN gate unlocks as renewals build.</t>
        </is>
      </c>
    </row>
    <row r="9" ht="30" customHeight="1">
      <c r="A9" s="13" t="inlineStr">
        <is>
          <t>Plan B - no minimum</t>
        </is>
      </c>
      <c r="B9" s="14" t="n">
        <v>10365.165</v>
      </c>
      <c r="C9" s="14" t="n">
        <v>12962.99</v>
      </c>
      <c r="D9" s="14" t="n">
        <v>14948.285</v>
      </c>
      <c r="E9" s="15" t="inlineStr">
        <is>
          <t>Best motivator - 100% flip pays ABOVE today's current pay.</t>
        </is>
      </c>
    </row>
    <row r="10" ht="30" customHeight="1">
      <c r="A10" s="13" t="inlineStr">
        <is>
          <t>Plan B WITH $45k/$0k MIN (RECOMMENDED)</t>
        </is>
      </c>
      <c r="B10" s="14" t="n">
        <v>3145.135000000001</v>
      </c>
      <c r="C10" s="14" t="n">
        <v>6456.059999999999</v>
      </c>
      <c r="D10" s="14" t="n">
        <v>8968.154999999999</v>
      </c>
      <c r="E10" s="15" t="inlineStr">
        <is>
          <t>100% flip pays ~current pay. Behavior change = pay holds steady.</t>
        </is>
      </c>
    </row>
    <row r="12" ht="38" customHeight="1">
      <c r="A12" s="16" t="inlineStr">
        <is>
          <t>READ: Current plan drops in swap because it only rewards NB+RWR count. New plans grow in swap because they pay for renewals. WITH MIN totals are smaller because no agent has $50k of REN premium today - until the renewal book is built, the gate stays closed. That is the design: 'no bonus until you cover yourself.'</t>
        </is>
      </c>
    </row>
    <row r="14">
      <c r="A14" s="5" t="inlineStr">
        <is>
          <t>SCENARIO 1: REAL DATA (Jan-Apr 2026)</t>
        </is>
      </c>
    </row>
    <row r="15">
      <c r="A15" s="6" t="inlineStr">
        <is>
          <t>Month</t>
        </is>
      </c>
      <c r="B15" s="6" t="inlineStr">
        <is>
          <t>Agent</t>
        </is>
      </c>
      <c r="C15" s="6" t="inlineStr">
        <is>
          <t>NB</t>
        </is>
      </c>
      <c r="D15" s="6" t="inlineStr">
        <is>
          <t>RWR</t>
        </is>
      </c>
      <c r="E15" s="6" t="inlineStr">
        <is>
          <t>REN</t>
        </is>
      </c>
      <c r="F15" s="6" t="inlineStr">
        <is>
          <t>Current</t>
        </is>
      </c>
      <c r="G15" s="6" t="inlineStr">
        <is>
          <t>A no-min</t>
        </is>
      </c>
      <c r="H15" s="6" t="inlineStr">
        <is>
          <t>A with min</t>
        </is>
      </c>
      <c r="I15" s="6" t="inlineStr">
        <is>
          <t>B no-min</t>
        </is>
      </c>
      <c r="J15" s="6" t="inlineStr">
        <is>
          <t>B with min</t>
        </is>
      </c>
      <c r="K15" s="6" t="inlineStr">
        <is>
          <t>A-min vs Current</t>
        </is>
      </c>
      <c r="L15" s="6" t="inlineStr">
        <is>
          <t>B-min vs Current</t>
        </is>
      </c>
    </row>
    <row r="16">
      <c r="A16" s="17" t="inlineStr">
        <is>
          <t>January</t>
        </is>
      </c>
      <c r="B16" s="17" t="inlineStr">
        <is>
          <t>Abel Guaina</t>
        </is>
      </c>
      <c r="C16" s="18" t="n">
        <v>25</v>
      </c>
      <c r="D16" s="18" t="n">
        <v>17</v>
      </c>
      <c r="E16" s="18" t="n">
        <v>9</v>
      </c>
      <c r="F16" s="19" t="n">
        <v>350</v>
      </c>
      <c r="G16" s="11" t="n">
        <v>487</v>
      </c>
      <c r="H16" s="20" t="n">
        <v>261</v>
      </c>
      <c r="I16" s="14" t="n">
        <v>443.11</v>
      </c>
      <c r="J16" s="21" t="n">
        <v>78.20999999999999</v>
      </c>
      <c r="K16" s="19" t="n">
        <v>-89</v>
      </c>
      <c r="L16" s="19" t="n">
        <v>-271.79</v>
      </c>
    </row>
    <row r="17">
      <c r="A17" s="17" t="inlineStr">
        <is>
          <t>January</t>
        </is>
      </c>
      <c r="B17" s="17" t="inlineStr">
        <is>
          <t>Dialinerys Dieguez</t>
        </is>
      </c>
      <c r="C17" s="18" t="n">
        <v>23</v>
      </c>
      <c r="D17" s="18" t="n">
        <v>48</v>
      </c>
      <c r="E17" s="18" t="n">
        <v>11</v>
      </c>
      <c r="F17" s="19" t="n">
        <v>660</v>
      </c>
      <c r="G17" s="11" t="n">
        <v>580.5894111111111</v>
      </c>
      <c r="H17" s="20" t="n">
        <v>275.5894111111111</v>
      </c>
      <c r="I17" s="14" t="n">
        <v>506.835</v>
      </c>
      <c r="J17" s="21" t="n">
        <v>99.935</v>
      </c>
      <c r="K17" s="19" t="n">
        <v>-384.4105888888889</v>
      </c>
      <c r="L17" s="19" t="n">
        <v>-560.0650000000001</v>
      </c>
    </row>
    <row r="18">
      <c r="A18" s="17" t="inlineStr">
        <is>
          <t>January</t>
        </is>
      </c>
      <c r="B18" s="17" t="inlineStr">
        <is>
          <t>Melissa Hernandez</t>
        </is>
      </c>
      <c r="C18" s="18" t="n">
        <v>31</v>
      </c>
      <c r="D18" s="18" t="n">
        <v>48</v>
      </c>
      <c r="E18" s="18" t="n">
        <v>0</v>
      </c>
      <c r="F18" s="19" t="n">
        <v>740</v>
      </c>
      <c r="G18" s="11" t="n">
        <v>524</v>
      </c>
      <c r="H18" s="20" t="n">
        <v>225</v>
      </c>
      <c r="I18" s="14" t="n">
        <v>552.3100000000001</v>
      </c>
      <c r="J18" s="21" t="n">
        <v>0</v>
      </c>
      <c r="K18" s="19" t="n">
        <v>-515</v>
      </c>
      <c r="L18" s="19" t="n">
        <v>-740</v>
      </c>
    </row>
    <row r="19">
      <c r="A19" s="17" t="inlineStr">
        <is>
          <t>January</t>
        </is>
      </c>
      <c r="B19" s="17" t="inlineStr">
        <is>
          <t>Flavia Parra</t>
        </is>
      </c>
      <c r="C19" s="18" t="n">
        <v>19</v>
      </c>
      <c r="D19" s="18" t="n">
        <v>35</v>
      </c>
      <c r="E19" s="18" t="n">
        <v>1</v>
      </c>
      <c r="F19" s="19" t="n">
        <v>490</v>
      </c>
      <c r="G19" s="11" t="n">
        <v>434</v>
      </c>
      <c r="H19" s="20" t="n">
        <v>231</v>
      </c>
      <c r="I19" s="14" t="n">
        <v>359.48</v>
      </c>
      <c r="J19" s="21" t="n">
        <v>8.690000000000001</v>
      </c>
      <c r="K19" s="19" t="n">
        <v>-259</v>
      </c>
      <c r="L19" s="19" t="n">
        <v>-481.31</v>
      </c>
    </row>
    <row r="20">
      <c r="A20" s="17" t="inlineStr">
        <is>
          <t>January</t>
        </is>
      </c>
      <c r="B20" s="17" t="inlineStr">
        <is>
          <t>Thalia Rojas</t>
        </is>
      </c>
      <c r="C20" s="18" t="n">
        <v>10</v>
      </c>
      <c r="D20" s="18" t="n">
        <v>28</v>
      </c>
      <c r="E20" s="18" t="n">
        <v>4</v>
      </c>
      <c r="F20" s="19" t="n">
        <v>350</v>
      </c>
      <c r="G20" s="11" t="n">
        <v>367</v>
      </c>
      <c r="H20" s="20" t="n">
        <v>241</v>
      </c>
      <c r="I20" s="14" t="n">
        <v>227.36</v>
      </c>
      <c r="J20" s="21" t="n">
        <v>34.76000000000001</v>
      </c>
      <c r="K20" s="19" t="n">
        <v>-109</v>
      </c>
      <c r="L20" s="19" t="n">
        <v>-315.24</v>
      </c>
    </row>
    <row r="21">
      <c r="A21" s="17" t="inlineStr">
        <is>
          <t>January</t>
        </is>
      </c>
      <c r="B21" s="17" t="inlineStr">
        <is>
          <t>Monica Valdes</t>
        </is>
      </c>
      <c r="C21" s="18" t="n">
        <v>23</v>
      </c>
      <c r="D21" s="18" t="n">
        <v>37</v>
      </c>
      <c r="E21" s="18" t="n">
        <v>6</v>
      </c>
      <c r="F21" s="19" t="n">
        <v>550</v>
      </c>
      <c r="G21" s="11" t="n">
        <v>521</v>
      </c>
      <c r="H21" s="20" t="n">
        <v>249</v>
      </c>
      <c r="I21" s="14" t="n">
        <v>464.97</v>
      </c>
      <c r="J21" s="21" t="n">
        <v>52.14</v>
      </c>
      <c r="K21" s="19" t="n">
        <v>-301</v>
      </c>
      <c r="L21" s="19" t="n">
        <v>-497.86</v>
      </c>
    </row>
    <row r="22">
      <c r="A22" s="17" t="inlineStr">
        <is>
          <t>February</t>
        </is>
      </c>
      <c r="B22" s="17" t="inlineStr">
        <is>
          <t>Abel Guaina</t>
        </is>
      </c>
      <c r="C22" s="18" t="n">
        <v>13</v>
      </c>
      <c r="D22" s="18" t="n">
        <v>19</v>
      </c>
      <c r="E22" s="18" t="n">
        <v>7</v>
      </c>
      <c r="F22" s="19" t="n">
        <v>250</v>
      </c>
      <c r="G22" s="11" t="n">
        <v>440</v>
      </c>
      <c r="H22" s="20" t="n">
        <v>253</v>
      </c>
      <c r="I22" s="14" t="n">
        <v>269.13</v>
      </c>
      <c r="J22" s="21" t="n">
        <v>60.83</v>
      </c>
      <c r="K22" s="19" t="n">
        <v>3</v>
      </c>
      <c r="L22" s="19" t="n">
        <v>-189.17</v>
      </c>
    </row>
    <row r="23">
      <c r="A23" s="17" t="inlineStr">
        <is>
          <t>February</t>
        </is>
      </c>
      <c r="B23" s="17" t="inlineStr">
        <is>
          <t>Dialinerys Dieguez</t>
        </is>
      </c>
      <c r="C23" s="18" t="n">
        <v>23</v>
      </c>
      <c r="D23" s="18" t="n">
        <v>56</v>
      </c>
      <c r="E23" s="18" t="n">
        <v>9</v>
      </c>
      <c r="F23" s="19" t="n">
        <v>740</v>
      </c>
      <c r="G23" s="11" t="n">
        <v>608</v>
      </c>
      <c r="H23" s="20" t="n">
        <v>279</v>
      </c>
      <c r="I23" s="14" t="n">
        <v>532.84</v>
      </c>
      <c r="J23" s="21" t="n">
        <v>78.20999999999999</v>
      </c>
      <c r="K23" s="19" t="n">
        <v>-461</v>
      </c>
      <c r="L23" s="19" t="n">
        <v>-661.79</v>
      </c>
    </row>
    <row r="24">
      <c r="A24" s="17" t="inlineStr">
        <is>
          <t>February</t>
        </is>
      </c>
      <c r="B24" s="17" t="inlineStr">
        <is>
          <t>Melissa Hernandez</t>
        </is>
      </c>
      <c r="C24" s="18" t="n">
        <v>13</v>
      </c>
      <c r="D24" s="18" t="n">
        <v>37</v>
      </c>
      <c r="E24" s="18" t="n">
        <v>1</v>
      </c>
      <c r="F24" s="19" t="n">
        <v>450</v>
      </c>
      <c r="G24" s="11" t="n">
        <v>405</v>
      </c>
      <c r="H24" s="20" t="n">
        <v>229</v>
      </c>
      <c r="I24" s="14" t="n">
        <v>277.745</v>
      </c>
      <c r="J24" s="21" t="n">
        <v>7.9</v>
      </c>
      <c r="K24" s="19" t="n">
        <v>-221</v>
      </c>
      <c r="L24" s="19" t="n">
        <v>-442.1</v>
      </c>
    </row>
    <row r="25">
      <c r="A25" s="17" t="inlineStr">
        <is>
          <t>February</t>
        </is>
      </c>
      <c r="B25" s="17" t="inlineStr">
        <is>
          <t>Flavia Parra</t>
        </is>
      </c>
      <c r="C25" s="18" t="n">
        <v>23</v>
      </c>
      <c r="D25" s="18" t="n">
        <v>42</v>
      </c>
      <c r="E25" s="18" t="n">
        <v>2</v>
      </c>
      <c r="F25" s="19" t="n">
        <v>600</v>
      </c>
      <c r="G25" s="11" t="n">
        <v>452.5416111111111</v>
      </c>
      <c r="H25" s="20" t="n">
        <v>233</v>
      </c>
      <c r="I25" s="14" t="n">
        <v>445.4100000000001</v>
      </c>
      <c r="J25" s="21" t="n">
        <v>17.38</v>
      </c>
      <c r="K25" s="19" t="n">
        <v>-367</v>
      </c>
      <c r="L25" s="19" t="n">
        <v>-582.62</v>
      </c>
    </row>
    <row r="26">
      <c r="A26" s="17" t="inlineStr">
        <is>
          <t>February</t>
        </is>
      </c>
      <c r="B26" s="17" t="inlineStr">
        <is>
          <t>Thalia Rojas</t>
        </is>
      </c>
      <c r="C26" s="18" t="n">
        <v>14</v>
      </c>
      <c r="D26" s="18" t="n">
        <v>24</v>
      </c>
      <c r="E26" s="18" t="n">
        <v>5</v>
      </c>
      <c r="F26" s="19" t="n">
        <v>350</v>
      </c>
      <c r="G26" s="11" t="n">
        <v>405.94</v>
      </c>
      <c r="H26" s="20" t="n">
        <v>259.94</v>
      </c>
      <c r="I26" s="14" t="n">
        <v>299.965</v>
      </c>
      <c r="J26" s="21" t="n">
        <v>45.425</v>
      </c>
      <c r="K26" s="19" t="n">
        <v>-90.06</v>
      </c>
      <c r="L26" s="19" t="n">
        <v>-304.575</v>
      </c>
    </row>
    <row r="27">
      <c r="A27" s="17" t="inlineStr">
        <is>
          <t>February</t>
        </is>
      </c>
      <c r="B27" s="17" t="inlineStr">
        <is>
          <t>Monica Valdes</t>
        </is>
      </c>
      <c r="C27" s="18" t="n">
        <v>21</v>
      </c>
      <c r="D27" s="18" t="n">
        <v>29</v>
      </c>
      <c r="E27" s="18" t="n">
        <v>2</v>
      </c>
      <c r="F27" s="19" t="n">
        <v>450</v>
      </c>
      <c r="G27" s="11" t="n">
        <v>471</v>
      </c>
      <c r="H27" s="20" t="n">
        <v>237</v>
      </c>
      <c r="I27" s="14" t="n">
        <v>382.2100000000001</v>
      </c>
      <c r="J27" s="21" t="n">
        <v>15.8</v>
      </c>
      <c r="K27" s="19" t="n">
        <v>-213</v>
      </c>
      <c r="L27" s="19" t="n">
        <v>-434.2</v>
      </c>
    </row>
    <row r="28">
      <c r="A28" s="17" t="inlineStr">
        <is>
          <t>March</t>
        </is>
      </c>
      <c r="B28" s="17" t="inlineStr">
        <is>
          <t>Abel Guaina</t>
        </is>
      </c>
      <c r="C28" s="18" t="n">
        <v>30</v>
      </c>
      <c r="D28" s="18" t="n">
        <v>17</v>
      </c>
      <c r="E28" s="18" t="n">
        <v>5</v>
      </c>
      <c r="F28" s="19" t="n">
        <v>350</v>
      </c>
      <c r="G28" s="11" t="n">
        <v>507.0011111111111</v>
      </c>
      <c r="H28" s="20" t="n">
        <v>507.0011111111111</v>
      </c>
      <c r="I28" s="14" t="n">
        <v>475.825</v>
      </c>
      <c r="J28" s="21" t="n">
        <v>475.825</v>
      </c>
      <c r="K28" s="19" t="n">
        <v>157.0011111111111</v>
      </c>
      <c r="L28" s="19" t="n">
        <v>125.825</v>
      </c>
    </row>
    <row r="29">
      <c r="A29" s="17" t="inlineStr">
        <is>
          <t>March</t>
        </is>
      </c>
      <c r="B29" s="17" t="inlineStr">
        <is>
          <t>Dialinerys Dieguez</t>
        </is>
      </c>
      <c r="C29" s="18" t="n">
        <v>38</v>
      </c>
      <c r="D29" s="18" t="n">
        <v>69</v>
      </c>
      <c r="E29" s="18" t="n">
        <v>7</v>
      </c>
      <c r="F29" s="19" t="n">
        <v>1020</v>
      </c>
      <c r="G29" s="11" t="n">
        <v>728.9375</v>
      </c>
      <c r="H29" s="20" t="n">
        <v>728.9375</v>
      </c>
      <c r="I29" s="14" t="n">
        <v>765.74</v>
      </c>
      <c r="J29" s="21" t="n">
        <v>765.74</v>
      </c>
      <c r="K29" s="19" t="n">
        <v>-291.0625</v>
      </c>
      <c r="L29" s="19" t="n">
        <v>-254.26</v>
      </c>
    </row>
    <row r="30">
      <c r="A30" s="17" t="inlineStr">
        <is>
          <t>March</t>
        </is>
      </c>
      <c r="B30" s="17" t="inlineStr">
        <is>
          <t>Melissa Hernandez</t>
        </is>
      </c>
      <c r="C30" s="18" t="n">
        <v>28</v>
      </c>
      <c r="D30" s="18" t="n">
        <v>48</v>
      </c>
      <c r="E30" s="18" t="n">
        <v>1</v>
      </c>
      <c r="F30" s="19" t="n">
        <v>710</v>
      </c>
      <c r="G30" s="11" t="n">
        <v>521</v>
      </c>
      <c r="H30" s="20" t="n">
        <v>229</v>
      </c>
      <c r="I30" s="14" t="n">
        <v>481.09</v>
      </c>
      <c r="J30" s="21" t="n">
        <v>8.690000000000001</v>
      </c>
      <c r="K30" s="19" t="n">
        <v>-481</v>
      </c>
      <c r="L30" s="19" t="n">
        <v>-701.3099999999999</v>
      </c>
    </row>
    <row r="31">
      <c r="A31" s="17" t="inlineStr">
        <is>
          <t>March</t>
        </is>
      </c>
      <c r="B31" s="17" t="inlineStr">
        <is>
          <t>Flavia Parra</t>
        </is>
      </c>
      <c r="C31" s="18" t="n">
        <v>27</v>
      </c>
      <c r="D31" s="18" t="n">
        <v>27</v>
      </c>
      <c r="E31" s="18" t="n">
        <v>0</v>
      </c>
      <c r="F31" s="19" t="n">
        <v>490</v>
      </c>
      <c r="G31" s="11" t="n">
        <v>438.8841111111111</v>
      </c>
      <c r="H31" s="20" t="n">
        <v>225</v>
      </c>
      <c r="I31" s="14" t="n">
        <v>468.8549999999999</v>
      </c>
      <c r="J31" s="21" t="n">
        <v>0</v>
      </c>
      <c r="K31" s="19" t="n">
        <v>-265</v>
      </c>
      <c r="L31" s="19" t="n">
        <v>-490</v>
      </c>
    </row>
    <row r="32">
      <c r="A32" s="17" t="inlineStr">
        <is>
          <t>March</t>
        </is>
      </c>
      <c r="B32" s="17" t="inlineStr">
        <is>
          <t>Thalia Rojas</t>
        </is>
      </c>
      <c r="C32" s="18" t="n">
        <v>19</v>
      </c>
      <c r="D32" s="18" t="n">
        <v>19</v>
      </c>
      <c r="E32" s="18" t="n">
        <v>6</v>
      </c>
      <c r="F32" s="19" t="n">
        <v>350</v>
      </c>
      <c r="G32" s="11" t="n">
        <v>391.4306555555556</v>
      </c>
      <c r="H32" s="20" t="n">
        <v>251.271</v>
      </c>
      <c r="I32" s="14" t="n">
        <v>382.545</v>
      </c>
      <c r="J32" s="21" t="n">
        <v>54.50999999999999</v>
      </c>
      <c r="K32" s="19" t="n">
        <v>-98.72899999999998</v>
      </c>
      <c r="L32" s="19" t="n">
        <v>-295.49</v>
      </c>
    </row>
    <row r="33">
      <c r="A33" s="17" t="inlineStr">
        <is>
          <t>March</t>
        </is>
      </c>
      <c r="B33" s="17" t="inlineStr">
        <is>
          <t>Monica Valdes</t>
        </is>
      </c>
      <c r="C33" s="18" t="n">
        <v>36</v>
      </c>
      <c r="D33" s="18" t="n">
        <v>28</v>
      </c>
      <c r="E33" s="18" t="n">
        <v>0</v>
      </c>
      <c r="F33" s="19" t="n">
        <v>590</v>
      </c>
      <c r="G33" s="11" t="n">
        <v>669</v>
      </c>
      <c r="H33" s="20" t="n">
        <v>669</v>
      </c>
      <c r="I33" s="14" t="n">
        <v>574.7600000000001</v>
      </c>
      <c r="J33" s="21" t="n">
        <v>574.7600000000001</v>
      </c>
      <c r="K33" s="19" t="n">
        <v>79</v>
      </c>
      <c r="L33" s="19" t="n">
        <v>-15.2399999999999</v>
      </c>
    </row>
    <row r="34">
      <c r="A34" s="17" t="inlineStr">
        <is>
          <t>April</t>
        </is>
      </c>
      <c r="B34" s="17" t="inlineStr">
        <is>
          <t>Abel Guaina</t>
        </is>
      </c>
      <c r="C34" s="18" t="n">
        <v>27</v>
      </c>
      <c r="D34" s="18" t="n">
        <v>15</v>
      </c>
      <c r="E34" s="18" t="n">
        <v>13</v>
      </c>
      <c r="F34" s="19" t="n">
        <v>350</v>
      </c>
      <c r="G34" s="11" t="n">
        <v>506.5532666666667</v>
      </c>
      <c r="H34" s="20" t="n">
        <v>280.4844333333334</v>
      </c>
      <c r="I34" s="14" t="n">
        <v>541.675</v>
      </c>
      <c r="J34" s="21" t="n">
        <v>118.105</v>
      </c>
      <c r="K34" s="19" t="n">
        <v>-69.51556666666664</v>
      </c>
      <c r="L34" s="19" t="n">
        <v>-231.895</v>
      </c>
    </row>
    <row r="35">
      <c r="A35" s="17" t="inlineStr">
        <is>
          <t>April</t>
        </is>
      </c>
      <c r="B35" s="17" t="inlineStr">
        <is>
          <t>Dialinerys Dieguez</t>
        </is>
      </c>
      <c r="C35" s="18" t="n">
        <v>33</v>
      </c>
      <c r="D35" s="18" t="n">
        <v>44</v>
      </c>
      <c r="E35" s="18" t="n">
        <v>2</v>
      </c>
      <c r="F35" s="19" t="n">
        <v>720</v>
      </c>
      <c r="G35" s="11" t="n">
        <v>649.9615888888889</v>
      </c>
      <c r="H35" s="20" t="n">
        <v>649.9615888888889</v>
      </c>
      <c r="I35" s="14" t="n">
        <v>594.11</v>
      </c>
      <c r="J35" s="21" t="n">
        <v>594.11</v>
      </c>
      <c r="K35" s="19" t="n">
        <v>-70.03841111111115</v>
      </c>
      <c r="L35" s="19" t="n">
        <v>-125.89</v>
      </c>
    </row>
    <row r="36">
      <c r="A36" s="17" t="inlineStr">
        <is>
          <t>April</t>
        </is>
      </c>
      <c r="B36" s="17" t="inlineStr">
        <is>
          <t>Melissa Hernandez</t>
        </is>
      </c>
      <c r="C36" s="18" t="n">
        <v>15</v>
      </c>
      <c r="D36" s="18" t="n">
        <v>37</v>
      </c>
      <c r="E36" s="18" t="n">
        <v>0</v>
      </c>
      <c r="F36" s="19" t="n">
        <v>470</v>
      </c>
      <c r="G36" s="11" t="n">
        <v>404</v>
      </c>
      <c r="H36" s="20" t="n">
        <v>225</v>
      </c>
      <c r="I36" s="14" t="n">
        <v>297.55</v>
      </c>
      <c r="J36" s="21" t="n">
        <v>0</v>
      </c>
      <c r="K36" s="19" t="n">
        <v>-245</v>
      </c>
      <c r="L36" s="19" t="n">
        <v>-470</v>
      </c>
    </row>
    <row r="37">
      <c r="A37" s="17" t="inlineStr">
        <is>
          <t>April</t>
        </is>
      </c>
      <c r="B37" s="17" t="inlineStr">
        <is>
          <t>Flavia Parra</t>
        </is>
      </c>
      <c r="C37" s="18" t="n">
        <v>23</v>
      </c>
      <c r="D37" s="18" t="n">
        <v>31</v>
      </c>
      <c r="E37" s="18" t="n">
        <v>1</v>
      </c>
      <c r="F37" s="19" t="n">
        <v>490</v>
      </c>
      <c r="G37" s="11" t="n">
        <v>466.3836222222222</v>
      </c>
      <c r="H37" s="20" t="n">
        <v>229.7916666666667</v>
      </c>
      <c r="I37" s="14" t="n">
        <v>412.6050000000001</v>
      </c>
      <c r="J37" s="21" t="n">
        <v>9.875</v>
      </c>
      <c r="K37" s="19" t="n">
        <v>-260.2083333333334</v>
      </c>
      <c r="L37" s="19" t="n">
        <v>-480.125</v>
      </c>
    </row>
    <row r="38">
      <c r="A38" s="17" t="inlineStr">
        <is>
          <t>April</t>
        </is>
      </c>
      <c r="B38" s="17" t="inlineStr">
        <is>
          <t>Thalia Rojas</t>
        </is>
      </c>
      <c r="C38" s="18" t="n">
        <v>9</v>
      </c>
      <c r="D38" s="18" t="n">
        <v>29</v>
      </c>
      <c r="E38" s="18" t="n">
        <v>3</v>
      </c>
      <c r="F38" s="19" t="n">
        <v>350</v>
      </c>
      <c r="G38" s="11" t="n">
        <v>405.6938888888889</v>
      </c>
      <c r="H38" s="20" t="n">
        <v>246.0283333333333</v>
      </c>
      <c r="I38" s="14" t="n">
        <v>227.825</v>
      </c>
      <c r="J38" s="21" t="n">
        <v>28.44</v>
      </c>
      <c r="K38" s="19" t="n">
        <v>-103.9716666666667</v>
      </c>
      <c r="L38" s="19" t="n">
        <v>-321.56</v>
      </c>
    </row>
    <row r="39">
      <c r="A39" s="17" t="inlineStr">
        <is>
          <t>April</t>
        </is>
      </c>
      <c r="B39" s="17" t="inlineStr">
        <is>
          <t>Monica Valdes</t>
        </is>
      </c>
      <c r="C39" s="18" t="n">
        <v>22</v>
      </c>
      <c r="D39" s="18" t="n">
        <v>22</v>
      </c>
      <c r="E39" s="18" t="n">
        <v>2</v>
      </c>
      <c r="F39" s="19" t="n">
        <v>350</v>
      </c>
      <c r="G39" s="11" t="n">
        <v>457</v>
      </c>
      <c r="H39" s="20" t="n">
        <v>237</v>
      </c>
      <c r="I39" s="14" t="n">
        <v>381.22</v>
      </c>
      <c r="J39" s="21" t="n">
        <v>15.8</v>
      </c>
      <c r="K39" s="19" t="n">
        <v>-113</v>
      </c>
      <c r="L39" s="19" t="n">
        <v>-334.2</v>
      </c>
    </row>
    <row r="40">
      <c r="A40" s="22" t="inlineStr">
        <is>
          <t>REAL 4-MONTH TOTAL (6 agents)</t>
        </is>
      </c>
      <c r="F40" s="23" t="n">
        <v>12220</v>
      </c>
      <c r="G40" s="23" t="n">
        <v>11841.91676666667</v>
      </c>
      <c r="H40" s="23" t="n">
        <v>7452.005044444445</v>
      </c>
      <c r="I40" s="23" t="n">
        <v>10365.165</v>
      </c>
      <c r="J40" s="23" t="n">
        <v>3145.135000000001</v>
      </c>
      <c r="K40" s="23" t="n">
        <v>-4767.994955555555</v>
      </c>
      <c r="L40" s="23" t="n">
        <v>-9074.865</v>
      </c>
    </row>
    <row r="42">
      <c r="A42" s="5" t="inlineStr">
        <is>
          <t>SCENARIO 2: 50% OF RWR CONVERTED TO REN (future-state target)</t>
        </is>
      </c>
    </row>
    <row r="43">
      <c r="A43" s="6" t="inlineStr">
        <is>
          <t>Month</t>
        </is>
      </c>
      <c r="B43" s="6" t="inlineStr">
        <is>
          <t>Agent</t>
        </is>
      </c>
      <c r="C43" s="6" t="inlineStr">
        <is>
          <t>NB</t>
        </is>
      </c>
      <c r="D43" s="6" t="inlineStr">
        <is>
          <t>RWR</t>
        </is>
      </c>
      <c r="E43" s="6" t="inlineStr">
        <is>
          <t>REN</t>
        </is>
      </c>
      <c r="F43" s="6" t="inlineStr">
        <is>
          <t>Current</t>
        </is>
      </c>
      <c r="G43" s="6" t="inlineStr">
        <is>
          <t>A no-min</t>
        </is>
      </c>
      <c r="H43" s="6" t="inlineStr">
        <is>
          <t>A with min</t>
        </is>
      </c>
      <c r="I43" s="6" t="inlineStr">
        <is>
          <t>B no-min</t>
        </is>
      </c>
      <c r="J43" s="6" t="inlineStr">
        <is>
          <t>B with min</t>
        </is>
      </c>
      <c r="K43" s="6" t="inlineStr">
        <is>
          <t>A-min vs Current</t>
        </is>
      </c>
      <c r="L43" s="6" t="inlineStr">
        <is>
          <t>B-min vs Current</t>
        </is>
      </c>
    </row>
    <row r="44">
      <c r="A44" s="17" t="inlineStr">
        <is>
          <t>January</t>
        </is>
      </c>
      <c r="B44" s="17" t="inlineStr">
        <is>
          <t>Abel Guaina</t>
        </is>
      </c>
      <c r="C44" s="18" t="n">
        <v>25</v>
      </c>
      <c r="D44" s="18" t="n">
        <v>9</v>
      </c>
      <c r="E44" s="18" t="n">
        <v>17</v>
      </c>
      <c r="F44" s="19" t="n">
        <v>250</v>
      </c>
      <c r="G44" s="11" t="n">
        <v>529</v>
      </c>
      <c r="H44" s="20" t="n">
        <v>327</v>
      </c>
      <c r="I44" s="14" t="n">
        <v>495.03</v>
      </c>
      <c r="J44" s="21" t="n">
        <v>147.73</v>
      </c>
      <c r="K44" s="19" t="n">
        <v>77</v>
      </c>
      <c r="L44" s="19" t="n">
        <v>-102.27</v>
      </c>
    </row>
    <row r="45">
      <c r="A45" s="17" t="inlineStr">
        <is>
          <t>January</t>
        </is>
      </c>
      <c r="B45" s="17" t="inlineStr">
        <is>
          <t>Dialinerys Dieguez</t>
        </is>
      </c>
      <c r="C45" s="18" t="n">
        <v>23</v>
      </c>
      <c r="D45" s="18" t="n">
        <v>24</v>
      </c>
      <c r="E45" s="18" t="n">
        <v>35</v>
      </c>
      <c r="F45" s="19" t="n">
        <v>350</v>
      </c>
      <c r="G45" s="11" t="n">
        <v>668</v>
      </c>
      <c r="H45" s="20" t="n">
        <v>435</v>
      </c>
      <c r="I45" s="14" t="n">
        <v>658.25</v>
      </c>
      <c r="J45" s="21" t="n">
        <v>304.15</v>
      </c>
      <c r="K45" s="19" t="n">
        <v>85</v>
      </c>
      <c r="L45" s="19" t="n">
        <v>-45.84999999999997</v>
      </c>
    </row>
    <row r="46">
      <c r="A46" s="17" t="inlineStr">
        <is>
          <t>January</t>
        </is>
      </c>
      <c r="B46" s="17" t="inlineStr">
        <is>
          <t>Melissa Hernandez</t>
        </is>
      </c>
      <c r="C46" s="18" t="n">
        <v>31</v>
      </c>
      <c r="D46" s="18" t="n">
        <v>24</v>
      </c>
      <c r="E46" s="18" t="n">
        <v>24</v>
      </c>
      <c r="F46" s="19" t="n">
        <v>500</v>
      </c>
      <c r="G46" s="11" t="n">
        <v>596</v>
      </c>
      <c r="H46" s="20" t="n">
        <v>369</v>
      </c>
      <c r="I46" s="14" t="n">
        <v>708.0699999999999</v>
      </c>
      <c r="J46" s="21" t="n">
        <v>208.56</v>
      </c>
      <c r="K46" s="19" t="n">
        <v>-131</v>
      </c>
      <c r="L46" s="19" t="n">
        <v>-291.44</v>
      </c>
    </row>
    <row r="47">
      <c r="A47" s="17" t="inlineStr">
        <is>
          <t>January</t>
        </is>
      </c>
      <c r="B47" s="17" t="inlineStr">
        <is>
          <t>Flavia Parra</t>
        </is>
      </c>
      <c r="C47" s="18" t="n">
        <v>19</v>
      </c>
      <c r="D47" s="18" t="n">
        <v>17</v>
      </c>
      <c r="E47" s="18" t="n">
        <v>19</v>
      </c>
      <c r="F47" s="19" t="n">
        <v>350</v>
      </c>
      <c r="G47" s="11" t="n">
        <v>468</v>
      </c>
      <c r="H47" s="20" t="n">
        <v>301</v>
      </c>
      <c r="I47" s="14" t="n">
        <v>476.3000000000001</v>
      </c>
      <c r="J47" s="21" t="n">
        <v>165.11</v>
      </c>
      <c r="K47" s="19" t="n">
        <v>-49</v>
      </c>
      <c r="L47" s="19" t="n">
        <v>-184.89</v>
      </c>
    </row>
    <row r="48">
      <c r="A48" s="17" t="inlineStr">
        <is>
          <t>January</t>
        </is>
      </c>
      <c r="B48" s="17" t="inlineStr">
        <is>
          <t>Thalia Rojas</t>
        </is>
      </c>
      <c r="C48" s="18" t="n">
        <v>10</v>
      </c>
      <c r="D48" s="18" t="n">
        <v>14</v>
      </c>
      <c r="E48" s="18" t="n">
        <v>18</v>
      </c>
      <c r="F48" s="19" t="n">
        <v>0</v>
      </c>
      <c r="G48" s="11" t="n">
        <v>395</v>
      </c>
      <c r="H48" s="20" t="n">
        <v>297</v>
      </c>
      <c r="I48" s="14" t="n">
        <v>318.22</v>
      </c>
      <c r="J48" s="21" t="n">
        <v>156.42</v>
      </c>
      <c r="K48" s="19" t="n">
        <v>297</v>
      </c>
      <c r="L48" s="19" t="n">
        <v>156.42</v>
      </c>
    </row>
    <row r="49">
      <c r="A49" s="17" t="inlineStr">
        <is>
          <t>January</t>
        </is>
      </c>
      <c r="B49" s="17" t="inlineStr">
        <is>
          <t>Monica Valdes</t>
        </is>
      </c>
      <c r="C49" s="18" t="n">
        <v>23</v>
      </c>
      <c r="D49" s="18" t="n">
        <v>19</v>
      </c>
      <c r="E49" s="18" t="n">
        <v>24</v>
      </c>
      <c r="F49" s="19" t="n">
        <v>350</v>
      </c>
      <c r="G49" s="11" t="n">
        <v>587</v>
      </c>
      <c r="H49" s="20" t="n">
        <v>369</v>
      </c>
      <c r="I49" s="14" t="n">
        <v>581.79</v>
      </c>
      <c r="J49" s="21" t="n">
        <v>208.56</v>
      </c>
      <c r="K49" s="19" t="n">
        <v>19</v>
      </c>
      <c r="L49" s="19" t="n">
        <v>-141.44</v>
      </c>
    </row>
    <row r="50">
      <c r="A50" s="17" t="inlineStr">
        <is>
          <t>February</t>
        </is>
      </c>
      <c r="B50" s="17" t="inlineStr">
        <is>
          <t>Abel Guaina</t>
        </is>
      </c>
      <c r="C50" s="18" t="n">
        <v>13</v>
      </c>
      <c r="D50" s="18" t="n">
        <v>9</v>
      </c>
      <c r="E50" s="18" t="n">
        <v>17</v>
      </c>
      <c r="F50" s="19" t="n">
        <v>0</v>
      </c>
      <c r="G50" s="11" t="n">
        <v>484</v>
      </c>
      <c r="H50" s="20" t="n">
        <v>327</v>
      </c>
      <c r="I50" s="14" t="n">
        <v>336.03</v>
      </c>
      <c r="J50" s="21" t="n">
        <v>147.73</v>
      </c>
      <c r="K50" s="19" t="n">
        <v>327</v>
      </c>
      <c r="L50" s="19" t="n">
        <v>147.73</v>
      </c>
    </row>
    <row r="51">
      <c r="A51" s="17" t="inlineStr">
        <is>
          <t>February</t>
        </is>
      </c>
      <c r="B51" s="17" t="inlineStr">
        <is>
          <t>Dialinerys Dieguez</t>
        </is>
      </c>
      <c r="C51" s="18" t="n">
        <v>23</v>
      </c>
      <c r="D51" s="18" t="n">
        <v>28</v>
      </c>
      <c r="E51" s="18" t="n">
        <v>37</v>
      </c>
      <c r="F51" s="19" t="n">
        <v>460</v>
      </c>
      <c r="G51" s="11" t="n">
        <v>692</v>
      </c>
      <c r="H51" s="20" t="n">
        <v>447</v>
      </c>
      <c r="I51" s="14" t="n">
        <v>714.5600000000001</v>
      </c>
      <c r="J51" s="21" t="n">
        <v>321.53</v>
      </c>
      <c r="K51" s="19" t="n">
        <v>-13</v>
      </c>
      <c r="L51" s="19" t="n">
        <v>-138.47</v>
      </c>
    </row>
    <row r="52">
      <c r="A52" s="17" t="inlineStr">
        <is>
          <t>February</t>
        </is>
      </c>
      <c r="B52" s="17" t="inlineStr">
        <is>
          <t>Melissa Hernandez</t>
        </is>
      </c>
      <c r="C52" s="18" t="n">
        <v>13</v>
      </c>
      <c r="D52" s="18" t="n">
        <v>19</v>
      </c>
      <c r="E52" s="18" t="n">
        <v>19</v>
      </c>
      <c r="F52" s="19" t="n">
        <v>250</v>
      </c>
      <c r="G52" s="11" t="n">
        <v>461</v>
      </c>
      <c r="H52" s="20" t="n">
        <v>339</v>
      </c>
      <c r="I52" s="14" t="n">
        <v>383.945</v>
      </c>
      <c r="J52" s="21" t="n">
        <v>150.1</v>
      </c>
      <c r="K52" s="19" t="n">
        <v>89</v>
      </c>
      <c r="L52" s="19" t="n">
        <v>-99.90000000000001</v>
      </c>
    </row>
    <row r="53">
      <c r="A53" s="17" t="inlineStr">
        <is>
          <t>February</t>
        </is>
      </c>
      <c r="B53" s="17" t="inlineStr">
        <is>
          <t>Flavia Parra</t>
        </is>
      </c>
      <c r="C53" s="18" t="n">
        <v>23</v>
      </c>
      <c r="D53" s="18" t="n">
        <v>21</v>
      </c>
      <c r="E53" s="18" t="n">
        <v>23</v>
      </c>
      <c r="F53" s="19" t="n">
        <v>350</v>
      </c>
      <c r="G53" s="11" t="n">
        <v>495.5405</v>
      </c>
      <c r="H53" s="20" t="n">
        <v>328.2696944444444</v>
      </c>
      <c r="I53" s="14" t="n">
        <v>588.6849999999999</v>
      </c>
      <c r="J53" s="21" t="n">
        <v>208.955</v>
      </c>
      <c r="K53" s="19" t="n">
        <v>-21.73030555555556</v>
      </c>
      <c r="L53" s="19" t="n">
        <v>-141.045</v>
      </c>
    </row>
    <row r="54">
      <c r="A54" s="17" t="inlineStr">
        <is>
          <t>February</t>
        </is>
      </c>
      <c r="B54" s="17" t="inlineStr">
        <is>
          <t>Thalia Rojas</t>
        </is>
      </c>
      <c r="C54" s="18" t="n">
        <v>14</v>
      </c>
      <c r="D54" s="18" t="n">
        <v>12</v>
      </c>
      <c r="E54" s="18" t="n">
        <v>17</v>
      </c>
      <c r="F54" s="19" t="n">
        <v>0</v>
      </c>
      <c r="G54" s="11" t="n">
        <v>461.6612</v>
      </c>
      <c r="H54" s="20" t="n">
        <v>339.6612</v>
      </c>
      <c r="I54" s="14" t="n">
        <v>382.585</v>
      </c>
      <c r="J54" s="21" t="n">
        <v>154.445</v>
      </c>
      <c r="K54" s="19" t="n">
        <v>339.6612</v>
      </c>
      <c r="L54" s="19" t="n">
        <v>154.445</v>
      </c>
    </row>
    <row r="55">
      <c r="A55" s="17" t="inlineStr">
        <is>
          <t>February</t>
        </is>
      </c>
      <c r="B55" s="17" t="inlineStr">
        <is>
          <t>Monica Valdes</t>
        </is>
      </c>
      <c r="C55" s="18" t="n">
        <v>21</v>
      </c>
      <c r="D55" s="18" t="n">
        <v>15</v>
      </c>
      <c r="E55" s="18" t="n">
        <v>16</v>
      </c>
      <c r="F55" s="19" t="n">
        <v>350</v>
      </c>
      <c r="G55" s="11" t="n">
        <v>513</v>
      </c>
      <c r="H55" s="20" t="n">
        <v>321</v>
      </c>
      <c r="I55" s="14" t="n">
        <v>462.0100000000001</v>
      </c>
      <c r="J55" s="21" t="n">
        <v>126.4</v>
      </c>
      <c r="K55" s="19" t="n">
        <v>-29</v>
      </c>
      <c r="L55" s="19" t="n">
        <v>-223.6</v>
      </c>
    </row>
    <row r="56">
      <c r="A56" s="17" t="inlineStr">
        <is>
          <t>March</t>
        </is>
      </c>
      <c r="B56" s="17" t="inlineStr">
        <is>
          <t>Abel Guaina</t>
        </is>
      </c>
      <c r="C56" s="18" t="n">
        <v>30</v>
      </c>
      <c r="D56" s="18" t="n">
        <v>9</v>
      </c>
      <c r="E56" s="18" t="n">
        <v>13</v>
      </c>
      <c r="F56" s="19" t="n">
        <v>350</v>
      </c>
      <c r="G56" s="11" t="n">
        <v>549.6831111111111</v>
      </c>
      <c r="H56" s="20" t="n">
        <v>549.6831111111111</v>
      </c>
      <c r="I56" s="14" t="n">
        <v>530.905</v>
      </c>
      <c r="J56" s="21" t="n">
        <v>530.905</v>
      </c>
      <c r="K56" s="19" t="n">
        <v>199.6831111111111</v>
      </c>
      <c r="L56" s="19" t="n">
        <v>180.905</v>
      </c>
    </row>
    <row r="57">
      <c r="A57" s="17" t="inlineStr">
        <is>
          <t>March</t>
        </is>
      </c>
      <c r="B57" s="17" t="inlineStr">
        <is>
          <t>Dialinerys Dieguez</t>
        </is>
      </c>
      <c r="C57" s="18" t="n">
        <v>38</v>
      </c>
      <c r="D57" s="18" t="n">
        <v>35</v>
      </c>
      <c r="E57" s="18" t="n">
        <v>41</v>
      </c>
      <c r="F57" s="19" t="n">
        <v>680</v>
      </c>
      <c r="G57" s="11" t="n">
        <v>842</v>
      </c>
      <c r="H57" s="20" t="n">
        <v>842</v>
      </c>
      <c r="I57" s="14" t="n">
        <v>980.8700000000001</v>
      </c>
      <c r="J57" s="21" t="n">
        <v>980.8700000000001</v>
      </c>
      <c r="K57" s="19" t="n">
        <v>162</v>
      </c>
      <c r="L57" s="19" t="n">
        <v>300.8700000000001</v>
      </c>
    </row>
    <row r="58">
      <c r="A58" s="17" t="inlineStr">
        <is>
          <t>March</t>
        </is>
      </c>
      <c r="B58" s="17" t="inlineStr">
        <is>
          <t>Melissa Hernandez</t>
        </is>
      </c>
      <c r="C58" s="18" t="n">
        <v>28</v>
      </c>
      <c r="D58" s="18" t="n">
        <v>24</v>
      </c>
      <c r="E58" s="18" t="n">
        <v>25</v>
      </c>
      <c r="F58" s="19" t="n">
        <v>470</v>
      </c>
      <c r="G58" s="11" t="n">
        <v>569</v>
      </c>
      <c r="H58" s="20" t="n">
        <v>325</v>
      </c>
      <c r="I58" s="14" t="n">
        <v>636.85</v>
      </c>
      <c r="J58" s="21" t="n">
        <v>217.25</v>
      </c>
      <c r="K58" s="19" t="n">
        <v>-145</v>
      </c>
      <c r="L58" s="19" t="n">
        <v>-252.75</v>
      </c>
    </row>
    <row r="59">
      <c r="A59" s="17" t="inlineStr">
        <is>
          <t>March</t>
        </is>
      </c>
      <c r="B59" s="17" t="inlineStr">
        <is>
          <t>Flavia Parra</t>
        </is>
      </c>
      <c r="C59" s="18" t="n">
        <v>27</v>
      </c>
      <c r="D59" s="18" t="n">
        <v>13</v>
      </c>
      <c r="E59" s="18" t="n">
        <v>14</v>
      </c>
      <c r="F59" s="19" t="n">
        <v>350</v>
      </c>
      <c r="G59" s="11" t="n">
        <v>466.8841111111111</v>
      </c>
      <c r="H59" s="20" t="n">
        <v>284.7370555555556</v>
      </c>
      <c r="I59" s="14" t="n">
        <v>563.8449999999999</v>
      </c>
      <c r="J59" s="21" t="n">
        <v>127.19</v>
      </c>
      <c r="K59" s="19" t="n">
        <v>-65.26294444444443</v>
      </c>
      <c r="L59" s="19" t="n">
        <v>-222.81</v>
      </c>
    </row>
    <row r="60">
      <c r="A60" s="17" t="inlineStr">
        <is>
          <t>March</t>
        </is>
      </c>
      <c r="B60" s="17" t="inlineStr">
        <is>
          <t>Thalia Rojas</t>
        </is>
      </c>
      <c r="C60" s="18" t="n">
        <v>19</v>
      </c>
      <c r="D60" s="18" t="n">
        <v>9</v>
      </c>
      <c r="E60" s="18" t="n">
        <v>16</v>
      </c>
      <c r="F60" s="19" t="n">
        <v>0</v>
      </c>
      <c r="G60" s="11" t="n">
        <v>409.1596555555556</v>
      </c>
      <c r="H60" s="20" t="n">
        <v>289</v>
      </c>
      <c r="I60" s="14" t="n">
        <v>445.075</v>
      </c>
      <c r="J60" s="21" t="n">
        <v>139.04</v>
      </c>
      <c r="K60" s="19" t="n">
        <v>289</v>
      </c>
      <c r="L60" s="19" t="n">
        <v>139.04</v>
      </c>
    </row>
    <row r="61">
      <c r="A61" s="17" t="inlineStr">
        <is>
          <t>March</t>
        </is>
      </c>
      <c r="B61" s="17" t="inlineStr">
        <is>
          <t>Monica Valdes</t>
        </is>
      </c>
      <c r="C61" s="18" t="n">
        <v>36</v>
      </c>
      <c r="D61" s="18" t="n">
        <v>14</v>
      </c>
      <c r="E61" s="18" t="n">
        <v>14</v>
      </c>
      <c r="F61" s="19" t="n">
        <v>450</v>
      </c>
      <c r="G61" s="11" t="n">
        <v>711</v>
      </c>
      <c r="H61" s="20" t="n">
        <v>711</v>
      </c>
      <c r="I61" s="14" t="n">
        <v>657.3600000000001</v>
      </c>
      <c r="J61" s="21" t="n">
        <v>657.3600000000001</v>
      </c>
      <c r="K61" s="19" t="n">
        <v>261</v>
      </c>
      <c r="L61" s="19" t="n">
        <v>207.3600000000001</v>
      </c>
    </row>
    <row r="62">
      <c r="A62" s="17" t="inlineStr">
        <is>
          <t>April</t>
        </is>
      </c>
      <c r="B62" s="17" t="inlineStr">
        <is>
          <t>Abel Guaina</t>
        </is>
      </c>
      <c r="C62" s="18" t="n">
        <v>27</v>
      </c>
      <c r="D62" s="18" t="n">
        <v>7</v>
      </c>
      <c r="E62" s="18" t="n">
        <v>21</v>
      </c>
      <c r="F62" s="19" t="n">
        <v>250</v>
      </c>
      <c r="G62" s="11" t="n">
        <v>522.5532666666667</v>
      </c>
      <c r="H62" s="20" t="n">
        <v>315.6855166666667</v>
      </c>
      <c r="I62" s="14" t="n">
        <v>595.955</v>
      </c>
      <c r="J62" s="21" t="n">
        <v>190.785</v>
      </c>
      <c r="K62" s="19" t="n">
        <v>65.68551666666667</v>
      </c>
      <c r="L62" s="19" t="n">
        <v>-59.215</v>
      </c>
    </row>
    <row r="63">
      <c r="A63" s="17" t="inlineStr">
        <is>
          <t>April</t>
        </is>
      </c>
      <c r="B63" s="17" t="inlineStr">
        <is>
          <t>Dialinerys Dieguez</t>
        </is>
      </c>
      <c r="C63" s="18" t="n">
        <v>33</v>
      </c>
      <c r="D63" s="18" t="n">
        <v>22</v>
      </c>
      <c r="E63" s="18" t="n">
        <v>24</v>
      </c>
      <c r="F63" s="19" t="n">
        <v>500</v>
      </c>
      <c r="G63" s="11" t="n">
        <v>734.9807944444444</v>
      </c>
      <c r="H63" s="20" t="n">
        <v>734.9807944444444</v>
      </c>
      <c r="I63" s="14" t="n">
        <v>734.6900000000001</v>
      </c>
      <c r="J63" s="21" t="n">
        <v>734.6900000000001</v>
      </c>
      <c r="K63" s="19" t="n">
        <v>234.9807944444444</v>
      </c>
      <c r="L63" s="19" t="n">
        <v>234.6900000000001</v>
      </c>
    </row>
    <row r="64">
      <c r="A64" s="17" t="inlineStr">
        <is>
          <t>April</t>
        </is>
      </c>
      <c r="B64" s="17" t="inlineStr">
        <is>
          <t>Melissa Hernandez</t>
        </is>
      </c>
      <c r="C64" s="18" t="n">
        <v>15</v>
      </c>
      <c r="D64" s="18" t="n">
        <v>19</v>
      </c>
      <c r="E64" s="18" t="n">
        <v>18</v>
      </c>
      <c r="F64" s="19" t="n">
        <v>250</v>
      </c>
      <c r="G64" s="11" t="n">
        <v>476</v>
      </c>
      <c r="H64" s="20" t="n">
        <v>333</v>
      </c>
      <c r="I64" s="14" t="n">
        <v>414.37</v>
      </c>
      <c r="J64" s="21" t="n">
        <v>156.42</v>
      </c>
      <c r="K64" s="19" t="n">
        <v>83</v>
      </c>
      <c r="L64" s="19" t="n">
        <v>-93.58000000000001</v>
      </c>
    </row>
    <row r="65">
      <c r="A65" s="17" t="inlineStr">
        <is>
          <t>April</t>
        </is>
      </c>
      <c r="B65" s="17" t="inlineStr">
        <is>
          <t>Flavia Parra</t>
        </is>
      </c>
      <c r="C65" s="18" t="n">
        <v>23</v>
      </c>
      <c r="D65" s="18" t="n">
        <v>15</v>
      </c>
      <c r="E65" s="18" t="n">
        <v>17</v>
      </c>
      <c r="F65" s="19" t="n">
        <v>350</v>
      </c>
      <c r="G65" s="11" t="n">
        <v>497.9086222222222</v>
      </c>
      <c r="H65" s="20" t="n">
        <v>299.7793111111111</v>
      </c>
      <c r="I65" s="14" t="n">
        <v>520.375</v>
      </c>
      <c r="J65" s="21" t="n">
        <v>154.445</v>
      </c>
      <c r="K65" s="19" t="n">
        <v>-50.2206888888889</v>
      </c>
      <c r="L65" s="19" t="n">
        <v>-195.555</v>
      </c>
    </row>
    <row r="66">
      <c r="A66" s="17" t="inlineStr">
        <is>
          <t>April</t>
        </is>
      </c>
      <c r="B66" s="17" t="inlineStr">
        <is>
          <t>Thalia Rojas</t>
        </is>
      </c>
      <c r="C66" s="18" t="n">
        <v>9</v>
      </c>
      <c r="D66" s="18" t="n">
        <v>15</v>
      </c>
      <c r="E66" s="18" t="n">
        <v>17</v>
      </c>
      <c r="F66" s="19" t="n">
        <v>0</v>
      </c>
      <c r="G66" s="11" t="n">
        <v>459.4591111111111</v>
      </c>
      <c r="H66" s="20" t="n">
        <v>341.7935555555555</v>
      </c>
      <c r="I66" s="14" t="n">
        <v>323.03</v>
      </c>
      <c r="J66" s="21" t="n">
        <v>154.445</v>
      </c>
      <c r="K66" s="19" t="n">
        <v>341.7935555555555</v>
      </c>
      <c r="L66" s="19" t="n">
        <v>154.445</v>
      </c>
    </row>
    <row r="67">
      <c r="A67" s="17" t="inlineStr">
        <is>
          <t>April</t>
        </is>
      </c>
      <c r="B67" s="17" t="inlineStr">
        <is>
          <t>Monica Valdes</t>
        </is>
      </c>
      <c r="C67" s="18" t="n">
        <v>22</v>
      </c>
      <c r="D67" s="18" t="n">
        <v>11</v>
      </c>
      <c r="E67" s="18" t="n">
        <v>13</v>
      </c>
      <c r="F67" s="19" t="n">
        <v>250</v>
      </c>
      <c r="G67" s="11" t="n">
        <v>490</v>
      </c>
      <c r="H67" s="20" t="n">
        <v>303</v>
      </c>
      <c r="I67" s="14" t="n">
        <v>454.1900000000001</v>
      </c>
      <c r="J67" s="21" t="n">
        <v>112.97</v>
      </c>
      <c r="K67" s="19" t="n">
        <v>53</v>
      </c>
      <c r="L67" s="19" t="n">
        <v>-137.03</v>
      </c>
    </row>
    <row r="68">
      <c r="A68" s="22" t="inlineStr">
        <is>
          <t>SWAP 4-MONTH TOTAL (6 agents)</t>
        </is>
      </c>
      <c r="F68" s="23" t="n">
        <v>7110</v>
      </c>
      <c r="G68" s="23" t="n">
        <v>13078.83037222222</v>
      </c>
      <c r="H68" s="23" t="n">
        <v>9529.590238888888</v>
      </c>
      <c r="I68" s="23" t="n">
        <v>12962.99</v>
      </c>
      <c r="J68" s="23" t="n">
        <v>6456.06</v>
      </c>
      <c r="K68" s="23" t="n">
        <v>2419.590238888888</v>
      </c>
      <c r="L68" s="23" t="n">
        <v>-653.9399999999996</v>
      </c>
    </row>
    <row r="71">
      <c r="A71" s="5" t="inlineStr">
        <is>
          <t>OWNERSHIP READ</t>
        </is>
      </c>
    </row>
    <row r="72" ht="44" customHeight="1">
      <c r="A72" s="24" t="inlineStr">
        <is>
          <t>REAL DATA TODAY: Current pays $12,220 (broken plan, rewards rewriting). Plan B WITH MIN pays $3,145 (less, because agents don't have enough renewals yet to clear the REN gate).</t>
        </is>
      </c>
    </row>
    <row r="73" ht="44" customHeight="1">
      <c r="A73" s="24" t="inlineStr">
        <is>
          <t>100% FLIP - 'if you had been renewing instead of rewriting': Plan B WITH MIN pays $8,968 - essentially MATCHES today's current pay of $12,220. Agent earns same dollars for doing the RIGHT behavior.</t>
        </is>
      </c>
    </row>
    <row r="74" ht="44" customHeight="1">
      <c r="A74" s="24" t="inlineStr">
        <is>
          <t>WHY CURRENT DROPS WHEN BEHAVIOR SHIFTS: today's plan pays $0 for renewals - it only counts NB+RWR toward the 35-policy tier. When rewrites convert to renewals, the count drops, the bonus drops. Under FLIP, current crashes to $2,750. New plans pay $6-$12 per REN, so behavior shift GROWS pay.</t>
        </is>
      </c>
    </row>
    <row r="75" ht="44" customHeight="1">
      <c r="A75" s="24" t="inlineStr">
        <is>
          <t>PROFIT PROTECTION: Pay = target. Review threshold flags months above 40% of safe net. 90-day chargeback reverses any bonus on a policy that cancels/rewrites within 90 days. Minimums add a third layer: NB $45,000/mo + retention &gt;= 30% of book or no bonus that month.</t>
        </is>
      </c>
    </row>
    <row r="76" ht="44" customHeight="1">
      <c r="A76" s="24" t="inlineStr">
        <is>
          <t>RECOMMENDATION: The Plan (Plan A) with $45,000 NB + 30% retention minimums. Pilot 90 days side-by-side with the current plan (pay the higher of the two), then switch over.</t>
        </is>
      </c>
    </row>
  </sheetData>
  <mergeCells count="12">
    <mergeCell ref="A73:L73"/>
    <mergeCell ref="A72:L72"/>
    <mergeCell ref="A1:M1"/>
    <mergeCell ref="A42:L42"/>
    <mergeCell ref="A76:L76"/>
    <mergeCell ref="A71:L71"/>
    <mergeCell ref="A75:L75"/>
    <mergeCell ref="A12:M12"/>
    <mergeCell ref="A4:M4"/>
    <mergeCell ref="A14:L14"/>
    <mergeCell ref="A74:L74"/>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6" customWidth="1" min="1" max="1"/>
    <col width="56" customWidth="1" min="2" max="2"/>
    <col width="22" customWidth="1" min="3" max="3"/>
    <col width="8" customWidth="1" min="4" max="4"/>
    <col width="8" customWidth="1" min="5" max="5"/>
    <col width="8" customWidth="1" min="6" max="6"/>
    <col width="8" customWidth="1" min="7" max="7"/>
  </cols>
  <sheetData>
    <row r="1">
      <c r="A1" s="25" t="inlineStr">
        <is>
          <t>THE BONUS PLAN (boss-approved framework)</t>
        </is>
      </c>
    </row>
    <row r="2">
      <c r="A2" s="26" t="inlineStr">
        <is>
          <t>Per-policy BASE (no tiers) + per-policy COLLECTED INCENTIVE on policies &gt; $1,200 premium + separate BOOK RETENTION bonus. Monthly minimums gate the per-policy lines. 3-month chargeback. Excel tracker required for every policy.</t>
        </is>
      </c>
    </row>
    <row r="4">
      <c r="A4" s="5" t="inlineStr">
        <is>
          <t>1. PER-POLICY BASE (TIERED by written premium - a $1,200 policy and a $3,000 policy do NOT pay the same)</t>
        </is>
      </c>
    </row>
    <row r="5">
      <c r="A5" s="6" t="inlineStr">
        <is>
          <t>Premium tier</t>
        </is>
      </c>
      <c r="B5" s="6" t="inlineStr">
        <is>
          <t>NB pays</t>
        </is>
      </c>
      <c r="C5" s="6" t="inlineStr">
        <is>
          <t>RWR pays</t>
        </is>
      </c>
      <c r="D5" s="6" t="inlineStr">
        <is>
          <t>REN pays</t>
        </is>
      </c>
      <c r="E5" s="6" t="inlineStr">
        <is>
          <t>Plain English</t>
        </is>
      </c>
    </row>
    <row r="6">
      <c r="A6" s="12" t="inlineStr">
        <is>
          <t>Under $1,200</t>
        </is>
      </c>
      <c r="B6" s="12" t="inlineStr">
        <is>
          <t>$5</t>
        </is>
      </c>
      <c r="C6" s="12" t="inlineStr">
        <is>
          <t>$2</t>
        </is>
      </c>
      <c r="D6" s="12" t="inlineStr">
        <is>
          <t>$4</t>
        </is>
      </c>
      <c r="E6" s="12" t="inlineStr">
        <is>
          <t>Low-premium policies earn the base. Smaller bonus.</t>
        </is>
      </c>
    </row>
    <row r="7">
      <c r="A7" s="17" t="inlineStr">
        <is>
          <t>$1,200 - $1,799</t>
        </is>
      </c>
      <c r="B7" s="17" t="inlineStr">
        <is>
          <t>$7</t>
        </is>
      </c>
      <c r="C7" s="17" t="inlineStr">
        <is>
          <t>$3</t>
        </is>
      </c>
      <c r="D7" s="17" t="inlineStr">
        <is>
          <t>$6</t>
        </is>
      </c>
      <c r="E7" s="17" t="inlineStr">
        <is>
          <t>Standard FL policies. The bulk of the book.</t>
        </is>
      </c>
    </row>
    <row r="8">
      <c r="A8" s="12" t="inlineStr">
        <is>
          <t>$1,800 - $2,499</t>
        </is>
      </c>
      <c r="B8" s="12" t="inlineStr">
        <is>
          <t>$10</t>
        </is>
      </c>
      <c r="C8" s="12" t="inlineStr">
        <is>
          <t>$4</t>
        </is>
      </c>
      <c r="D8" s="12" t="inlineStr">
        <is>
          <t>$8</t>
        </is>
      </c>
      <c r="E8" s="12" t="inlineStr">
        <is>
          <t>Higher premium - more commission for the agency, more bonus for the agent.</t>
        </is>
      </c>
    </row>
    <row r="9">
      <c r="A9" s="17" t="inlineStr">
        <is>
          <t>$2,500 - $2,999</t>
        </is>
      </c>
      <c r="B9" s="17" t="inlineStr">
        <is>
          <t>$13</t>
        </is>
      </c>
      <c r="C9" s="17" t="inlineStr">
        <is>
          <t>$4</t>
        </is>
      </c>
      <c r="D9" s="17" t="inlineStr">
        <is>
          <t>$10</t>
        </is>
      </c>
      <c r="E9" s="17" t="inlineStr">
        <is>
          <t>Strong premium business.</t>
        </is>
      </c>
    </row>
    <row r="10">
      <c r="A10" s="12" t="inlineStr">
        <is>
          <t>$3,000+</t>
        </is>
      </c>
      <c r="B10" s="12" t="inlineStr">
        <is>
          <t>$13 + $2/$1k cap $25</t>
        </is>
      </c>
      <c r="C10" s="12" t="inlineStr">
        <is>
          <t>$4</t>
        </is>
      </c>
      <c r="D10" s="12" t="inlineStr">
        <is>
          <t>$10</t>
        </is>
      </c>
      <c r="E10" s="12" t="inlineStr">
        <is>
          <t>Commercial / high-end auto. Upside on big premium.</t>
        </is>
      </c>
    </row>
    <row r="12">
      <c r="A12" s="5" t="inlineStr">
        <is>
          <t>2. PER-POLICY COLLECTED INCENTIVE (only on policies with premium &gt; $1,200)</t>
        </is>
      </c>
    </row>
    <row r="13">
      <c r="A13" s="6" t="inlineStr">
        <is>
          <t>Collected % of premium</t>
        </is>
      </c>
      <c r="B13" s="6" t="inlineStr">
        <is>
          <t>Extra per policy</t>
        </is>
      </c>
      <c r="C13" s="6" t="inlineStr">
        <is>
          <t>Why</t>
        </is>
      </c>
      <c r="D13" s="6" t="inlineStr">
        <is>
          <t>Example</t>
        </is>
      </c>
    </row>
    <row r="14">
      <c r="A14" s="12" t="inlineStr">
        <is>
          <t>Below 25%</t>
        </is>
      </c>
      <c r="B14" s="12" t="inlineStr">
        <is>
          <t>$0 (no incentive)</t>
        </is>
      </c>
      <c r="C14" s="12" t="inlineStr">
        <is>
          <t>Premium barely collected. No incentive.</t>
        </is>
      </c>
      <c r="D14" s="12" t="inlineStr">
        <is>
          <t>$1,500 policy, 15% down -&gt; $0 incentive</t>
        </is>
      </c>
    </row>
    <row r="15">
      <c r="A15" s="17" t="inlineStr">
        <is>
          <t>25% to 49%</t>
        </is>
      </c>
      <c r="B15" s="17" t="inlineStr">
        <is>
          <t>+$2 per policy</t>
        </is>
      </c>
      <c r="C15" s="17" t="inlineStr">
        <is>
          <t>Standard down. Small incentive.</t>
        </is>
      </c>
      <c r="D15" s="17" t="inlineStr">
        <is>
          <t>$1,500 policy, 30% down -&gt; +$2</t>
        </is>
      </c>
    </row>
    <row r="16">
      <c r="A16" s="12" t="inlineStr">
        <is>
          <t>50% to 99%</t>
        </is>
      </c>
      <c r="B16" s="12" t="inlineStr">
        <is>
          <t>+$3 per policy</t>
        </is>
      </c>
      <c r="C16" s="12" t="inlineStr">
        <is>
          <t>High collection. Higher incentive.</t>
        </is>
      </c>
      <c r="D16" s="12" t="inlineStr">
        <is>
          <t>$1,500 policy, 60% down -&gt; +$3</t>
        </is>
      </c>
    </row>
    <row r="17">
      <c r="A17" s="17" t="inlineStr">
        <is>
          <t>100% PIF</t>
        </is>
      </c>
      <c r="B17" s="17" t="inlineStr">
        <is>
          <t>+$5 per policy</t>
        </is>
      </c>
      <c r="C17" s="17" t="inlineStr">
        <is>
          <t>Paid in full. Zero chargeback risk. Top incentive.</t>
        </is>
      </c>
      <c r="D17" s="17" t="inlineStr">
        <is>
          <t>$1,500 policy PIF -&gt; +$5</t>
        </is>
      </c>
    </row>
    <row r="18">
      <c r="A18" s="12" t="inlineStr">
        <is>
          <t>Policy with premium &lt;= $1,200</t>
        </is>
      </c>
      <c r="B18" s="12" t="inlineStr">
        <is>
          <t>$0 incentive</t>
        </is>
      </c>
      <c r="C18" s="12" t="inlineStr">
        <is>
          <t>Low-premium policies do not earn the incentive.</t>
        </is>
      </c>
      <c r="D18" s="12" t="inlineStr">
        <is>
          <t>$800 policy at 50% -&gt; base only</t>
        </is>
      </c>
    </row>
    <row r="20">
      <c r="A20" s="5" t="inlineStr">
        <is>
          <t>3. BOOK RETENTION BONUS (separate, not gated by monthly minimums)</t>
        </is>
      </c>
    </row>
    <row r="21">
      <c r="A21" s="6" t="inlineStr">
        <is>
          <t>Component</t>
        </is>
      </c>
      <c r="B21" s="6" t="inlineStr">
        <is>
          <t>Value</t>
        </is>
      </c>
      <c r="C21" s="6" t="inlineStr">
        <is>
          <t>Math</t>
        </is>
      </c>
    </row>
    <row r="22">
      <c r="A22" s="12" t="inlineStr">
        <is>
          <t>Retention Rate</t>
        </is>
      </c>
      <c r="B22" s="12" t="inlineStr">
        <is>
          <t>% retained</t>
        </is>
      </c>
      <c r="C22" s="12" t="inlineStr">
        <is>
          <t>(NB premium written 6 months ago that is STILL ACTIVE today) / (NB premium written 6 months ago)</t>
        </is>
      </c>
    </row>
    <row r="23">
      <c r="A23" s="17" t="inlineStr">
        <is>
          <t>Monthly Pool</t>
        </is>
      </c>
      <c r="B23" s="17" t="inlineStr">
        <is>
          <t>$300</t>
        </is>
      </c>
      <c r="C23" s="17" t="inlineStr">
        <is>
          <t>Pool of bonus dollars at stake for retention.</t>
        </is>
      </c>
    </row>
    <row r="24">
      <c r="A24" s="12" t="inlineStr">
        <is>
          <t>Retention Bonus</t>
        </is>
      </c>
      <c r="B24" s="12" t="inlineStr">
        <is>
          <t>Rate x Pool</t>
        </is>
      </c>
      <c r="C24" s="12" t="inlineStr">
        <is>
          <t>e.g., 75% x $300 = $225/mo. 90% x $300 = $270/mo. 100% x $300 = $300/mo.</t>
        </is>
      </c>
    </row>
    <row r="25">
      <c r="A25" s="17" t="inlineStr">
        <is>
          <t>Modeling assumption</t>
        </is>
      </c>
      <c r="B25" s="17" t="inlineStr">
        <is>
          <t>75% retention rate</t>
        </is>
      </c>
      <c r="C25" s="17" t="inlineStr">
        <is>
          <t>For modeling in this workbook we use 75% (industry typical) = $225/mo. Actual is computed monthly from the agency's history.</t>
        </is>
      </c>
    </row>
    <row r="27">
      <c r="A27" s="5" t="inlineStr">
        <is>
          <t>4. RULES THAT APPLY ON TOP</t>
        </is>
      </c>
    </row>
    <row r="28">
      <c r="A28" s="6" t="inlineStr">
        <is>
          <t>Rule</t>
        </is>
      </c>
      <c r="B28" s="6" t="inlineStr">
        <is>
          <t>Value</t>
        </is>
      </c>
      <c r="C28" s="6" t="inlineStr">
        <is>
          <t>How it works</t>
        </is>
      </c>
    </row>
    <row r="29">
      <c r="A29" s="17" t="inlineStr">
        <is>
          <t>Monthly Minimum - NB</t>
        </is>
      </c>
      <c r="B29" s="17" t="inlineStr">
        <is>
          <t>$45,000 written premium</t>
        </is>
      </c>
      <c r="C29" s="17" t="inlineStr">
        <is>
          <t>NB base + NB collected paid ONLY if NB premium clears this gate this month.</t>
        </is>
      </c>
    </row>
    <row r="30">
      <c r="A30" s="12" t="inlineStr">
        <is>
          <t>Monthly Minimum - REN</t>
        </is>
      </c>
      <c r="B30" s="12" t="inlineStr">
        <is>
          <t>Retain &gt;= 30% of agent's book</t>
        </is>
      </c>
      <c r="C30" s="12" t="inlineStr">
        <is>
          <t>REN base + REN collected paid ONLY if the agent retained at least 30% of their assigned book this month.</t>
        </is>
      </c>
    </row>
    <row r="31">
      <c r="A31" s="17" t="inlineStr">
        <is>
          <t>Monthly Minimum - RWR</t>
        </is>
      </c>
      <c r="B31" s="17" t="inlineStr">
        <is>
          <t>NB gate met (or both)</t>
        </is>
      </c>
      <c r="C31" s="17" t="inlineStr">
        <is>
          <t>RWR base + RWR collected paid ONLY if NB gate met. Meeting both NB and REN also works.</t>
        </is>
      </c>
    </row>
    <row r="32">
      <c r="A32" s="12" t="inlineStr">
        <is>
          <t>Retention Bonus exception</t>
        </is>
      </c>
      <c r="B32" s="12" t="inlineStr">
        <is>
          <t>Always paid</t>
        </is>
      </c>
      <c r="C32" s="12" t="inlineStr">
        <is>
          <t>Retention bonus is paid regardless of monthly minimums - it tracks long-term book persistency.</t>
        </is>
      </c>
    </row>
    <row r="33">
      <c r="A33" s="17" t="inlineStr">
        <is>
          <t>Chargeback</t>
        </is>
      </c>
      <c r="B33" s="17" t="inlineStr">
        <is>
          <t>3 months (90 days)</t>
        </is>
      </c>
      <c r="C33" s="17" t="inlineStr">
        <is>
          <t>100% of the paid bonus on a policy is REVERSED if the policy cancels/rewrites within 90 days of effective date.</t>
        </is>
      </c>
    </row>
    <row r="34">
      <c r="A34" s="12" t="inlineStr">
        <is>
          <t>Excel Tracker</t>
        </is>
      </c>
      <c r="B34" s="12" t="inlineStr">
        <is>
          <t>Required for every policy</t>
        </is>
      </c>
      <c r="C34" s="12" t="inlineStr">
        <is>
          <t>Agent must enter policy info, down payment, and premium in the manual tracker. No entry = no bonus on that policy.</t>
        </is>
      </c>
    </row>
    <row r="35">
      <c r="A35" s="17" t="inlineStr">
        <is>
          <t>Renewal Book of Business</t>
        </is>
      </c>
      <c r="B35" s="17" t="inlineStr">
        <is>
          <t>Assigned per agent</t>
        </is>
      </c>
      <c r="C35" s="17" t="inlineStr">
        <is>
          <t>Each agent has an assigned renewal book. Newer agents who do not have their own renewals get a book reassigned from former employees. The agent is responsible for renewing that book.</t>
        </is>
      </c>
    </row>
    <row r="37">
      <c r="A37" s="5" t="inlineStr">
        <is>
          <t>5. WORKED EXAMPLE - Dialinerys Dieguez, March 2026</t>
        </is>
      </c>
    </row>
    <row r="38">
      <c r="A38" s="6" t="inlineStr">
        <is>
          <t>Step</t>
        </is>
      </c>
      <c r="B38" s="6" t="inlineStr">
        <is>
          <t>Math</t>
        </is>
      </c>
      <c r="C38" s="6" t="inlineStr">
        <is>
          <t>Result</t>
        </is>
      </c>
    </row>
    <row r="39" ht="24" customHeight="1">
      <c r="A39" s="17" t="inlineStr">
        <is>
          <t>Volumes</t>
        </is>
      </c>
      <c r="B39" s="17" t="inlineStr">
        <is>
          <t>NB 38 ($52,435 written, $10,547 collected = 20.1%, avg policy $1,380)</t>
        </is>
      </c>
      <c r="C39" s="17" t="inlineStr"/>
    </row>
    <row r="40" ht="24" customHeight="1">
      <c r="A40" s="12" t="inlineStr">
        <is>
          <t>Volumes</t>
        </is>
      </c>
      <c r="B40" s="12" t="inlineStr">
        <is>
          <t>RWR 69 ($96,228 written, $19,700 collected = 20.5%, avg policy $1,395)</t>
        </is>
      </c>
      <c r="C40" s="12" t="inlineStr"/>
    </row>
    <row r="41" ht="24" customHeight="1">
      <c r="A41" s="17" t="inlineStr">
        <is>
          <t>Volumes</t>
        </is>
      </c>
      <c r="B41" s="17" t="inlineStr">
        <is>
          <t>REN 7 ($5,962 written, $3,080 collected = 51.7%, avg policy $852)</t>
        </is>
      </c>
      <c r="C41" s="17" t="inlineStr"/>
    </row>
    <row r="42" ht="24" customHeight="1">
      <c r="A42" s="12" t="inlineStr">
        <is>
          <t>NB base (tier)</t>
        </is>
      </c>
      <c r="B42" s="12" t="inlineStr">
        <is>
          <t>38 policies in tier "$1,200-$1,799" x $7</t>
        </is>
      </c>
      <c r="C42" s="12" t="inlineStr">
        <is>
          <t>$266</t>
        </is>
      </c>
    </row>
    <row r="43" ht="24" customHeight="1">
      <c r="A43" s="17" t="inlineStr">
        <is>
          <t>NB collected incentive</t>
        </is>
      </c>
      <c r="B43" s="17" t="inlineStr">
        <is>
          <t>~43% of policies &gt;$1,200, collected 20% -&gt; +$0/policy</t>
        </is>
      </c>
      <c r="C43" s="17" t="inlineStr">
        <is>
          <t>$0</t>
        </is>
      </c>
    </row>
    <row r="44" ht="24" customHeight="1">
      <c r="A44" s="12" t="inlineStr">
        <is>
          <t>REN base (tier)</t>
        </is>
      </c>
      <c r="B44" s="12" t="inlineStr">
        <is>
          <t>7 policies in tier "Under $1,200" x $4</t>
        </is>
      </c>
      <c r="C44" s="12" t="inlineStr">
        <is>
          <t>$28</t>
        </is>
      </c>
    </row>
    <row r="45" ht="24" customHeight="1">
      <c r="A45" s="17" t="inlineStr">
        <is>
          <t>REN collected incentive</t>
        </is>
      </c>
      <c r="B45" s="17" t="inlineStr">
        <is>
          <t>~14% &gt;$1,200, collected 52% -&gt; +$3/policy</t>
        </is>
      </c>
      <c r="C45" s="17" t="inlineStr">
        <is>
          <t>$3</t>
        </is>
      </c>
    </row>
    <row r="46" ht="24" customHeight="1">
      <c r="A46" s="12" t="inlineStr">
        <is>
          <t>RWR base (tier)</t>
        </is>
      </c>
      <c r="B46" s="12" t="inlineStr">
        <is>
          <t>69 policies in tier "$1,200-$1,799" x $3</t>
        </is>
      </c>
      <c r="C46" s="12" t="inlineStr">
        <is>
          <t>$207</t>
        </is>
      </c>
    </row>
    <row r="47" ht="24" customHeight="1">
      <c r="A47" s="17" t="inlineStr">
        <is>
          <t>RWR collected incentive</t>
        </is>
      </c>
      <c r="B47" s="17" t="inlineStr">
        <is>
          <t>~44% &gt;$1,200, collected 20% -&gt; +$0/policy</t>
        </is>
      </c>
      <c r="C47" s="17" t="inlineStr">
        <is>
          <t>$0</t>
        </is>
      </c>
    </row>
    <row r="48" ht="24" customHeight="1">
      <c r="A48" s="12" t="inlineStr">
        <is>
          <t>Retention bonus</t>
        </is>
      </c>
      <c r="B48" s="12" t="inlineStr">
        <is>
          <t>75% retention x $300 pool</t>
        </is>
      </c>
      <c r="C48" s="12" t="inlineStr">
        <is>
          <t>$225</t>
        </is>
      </c>
    </row>
    <row r="49" ht="24" customHeight="1">
      <c r="A49" s="17" t="inlineStr">
        <is>
          <t>Subtotal target</t>
        </is>
      </c>
      <c r="B49" s="17" t="inlineStr">
        <is>
          <t>(everything before gates)</t>
        </is>
      </c>
      <c r="C49" s="17" t="inlineStr">
        <is>
          <t>$729</t>
        </is>
      </c>
    </row>
    <row r="50" ht="24" customHeight="1">
      <c r="A50" s="12" t="inlineStr">
        <is>
          <t>NB gate ($45,000)</t>
        </is>
      </c>
      <c r="B50" s="12" t="inlineStr">
        <is>
          <t>NB written $52,435 vs $45,000</t>
        </is>
      </c>
      <c r="C50" s="27" t="inlineStr">
        <is>
          <t>PASS</t>
        </is>
      </c>
    </row>
    <row r="51" ht="24" customHeight="1">
      <c r="A51" s="17" t="inlineStr">
        <is>
          <t>REN gate (&gt;= 30% retention)</t>
        </is>
      </c>
      <c r="B51" s="17" t="inlineStr">
        <is>
          <t>Assumed retention 75% vs 30%</t>
        </is>
      </c>
      <c r="C51" s="27" t="inlineStr">
        <is>
          <t>PASS</t>
        </is>
      </c>
    </row>
    <row r="52" ht="24" customHeight="1">
      <c r="A52" s="12" t="inlineStr">
        <is>
          <t>RWR gate (both)</t>
        </is>
      </c>
      <c r="B52" s="12" t="inlineStr">
        <is>
          <t>Both NB and REN gates passed?</t>
        </is>
      </c>
      <c r="C52" s="27" t="inlineStr">
        <is>
          <t>PASS</t>
        </is>
      </c>
    </row>
    <row r="53" ht="24" customHeight="1">
      <c r="A53" s="28" t="inlineStr">
        <is>
          <t>FINAL PAID</t>
        </is>
      </c>
      <c r="B53" s="28" t="inlineStr">
        <is>
          <t>Pay only the lines whose gates passed + retention bonus</t>
        </is>
      </c>
      <c r="C53" s="28" t="inlineStr">
        <is>
          <t>$728.94</t>
        </is>
      </c>
    </row>
  </sheetData>
  <mergeCells count="7">
    <mergeCell ref="A1:G1"/>
    <mergeCell ref="A27:G27"/>
    <mergeCell ref="A12:G12"/>
    <mergeCell ref="A4:G4"/>
    <mergeCell ref="A20:G20"/>
    <mergeCell ref="A2:G2"/>
    <mergeCell ref="A37:G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cols>
    <col width="24" customWidth="1" min="1" max="1"/>
    <col width="12" customWidth="1" min="2" max="2"/>
    <col width="14" customWidth="1" min="3" max="3"/>
    <col width="14" customWidth="1" min="4" max="4"/>
    <col width="16" customWidth="1" min="5" max="5"/>
    <col width="16" customWidth="1" min="6" max="6"/>
    <col width="16" customWidth="1" min="7" max="7"/>
    <col width="14" customWidth="1" min="8" max="8"/>
    <col width="14" customWidth="1" min="9" max="9"/>
    <col width="14" customWidth="1" min="10" max="10"/>
  </cols>
  <sheetData>
    <row r="1">
      <c r="A1" s="1" t="inlineStr">
        <is>
          <t>Minimum Requirements (NEW)</t>
        </is>
      </c>
    </row>
    <row r="2">
      <c r="A2" s="26" t="inlineStr">
        <is>
          <t>Replaces the current 35-policy NB+RWR minimum with a PREMIUM-based gate: NB premium &gt;= $45,000/month AND REN premium &gt;= $0/month. RWR has no own minimum, but RWR bonus only pays when BOTH NB and REN gates pass that month.</t>
        </is>
      </c>
    </row>
    <row r="4">
      <c r="A4" s="5" t="inlineStr">
        <is>
          <t>HOW THESE NUMBERS WERE PICKED - DATA-DRIVEN</t>
        </is>
      </c>
    </row>
    <row r="5" ht="60" customHeight="1">
      <c r="A5" s="24" t="inlineStr">
        <is>
          <t>Looking at the 24 agent-months in the source data (6 agents x 4 months): NB premium per month ranges $7.7k-$68.5k (median $30k). REN premium per month ranges $0-$19.6k (median $3.7k). In the 50%-swap scenario, REN climbs to a $11.8k-$54.4k range (median $22.8k). The proposed gates are NB $45,000 and REN $0 - chosen so the NB gate is achievable on today's behavior (71% of real months pass) and the REN gate is achievable once behavior shifts (96% of swap months pass).</t>
        </is>
      </c>
    </row>
    <row r="7">
      <c r="A7" s="6" t="inlineStr">
        <is>
          <t>Step</t>
        </is>
      </c>
      <c r="B7" s="6" t="inlineStr">
        <is>
          <t>Math</t>
        </is>
      </c>
      <c r="C7" s="6" t="inlineStr">
        <is>
          <t>Number</t>
        </is>
      </c>
      <c r="D7" s="6" t="inlineStr">
        <is>
          <t>What it means</t>
        </is>
      </c>
    </row>
    <row r="8" ht="36" customHeight="1">
      <c r="A8" s="29" t="inlineStr">
        <is>
          <t>1</t>
        </is>
      </c>
      <c r="B8" s="29" t="inlineStr">
        <is>
          <t>Agent salary basis</t>
        </is>
      </c>
      <c r="C8" s="29" t="inlineStr">
        <is>
          <t>$16-$22/hr x 40 hr/wk = $2,773-$3,813/mo</t>
        </is>
      </c>
      <c r="D8" s="29" t="inlineStr">
        <is>
          <t>Midpoint $3,300/mo - this is what the agent must generate to cover their own cost.</t>
        </is>
      </c>
    </row>
    <row r="9" ht="36" customHeight="1">
      <c r="A9" s="17" t="inlineStr">
        <is>
          <t>2</t>
        </is>
      </c>
      <c r="B9" s="17" t="inlineStr">
        <is>
          <t>NB minimum + REN minimum</t>
        </is>
      </c>
      <c r="C9" s="17" t="inlineStr">
        <is>
          <t>$45,000 + $0 = $45,000 written</t>
        </is>
      </c>
      <c r="D9" s="17" t="inlineStr">
        <is>
          <t>Total written premium needed to clear both gates each month.</t>
        </is>
      </c>
    </row>
    <row r="10" ht="36" customHeight="1">
      <c r="A10" s="29" t="inlineStr">
        <is>
          <t>3</t>
        </is>
      </c>
      <c r="B10" s="29" t="inlineStr">
        <is>
          <t>At 25% collected (today's typical)</t>
        </is>
      </c>
      <c r="C10" s="29" t="inlineStr">
        <is>
          <t>$45,000 x 25% x 11% x (1-21%) = $978</t>
        </is>
      </c>
      <c r="D10" s="29" t="inlineStr">
        <is>
          <t>~30% of salary. NOT enough on its own. Production needs collection to grow.</t>
        </is>
      </c>
    </row>
    <row r="11" ht="36" customHeight="1">
      <c r="A11" s="17" t="inlineStr">
        <is>
          <t>4</t>
        </is>
      </c>
      <c r="B11" s="17" t="inlineStr">
        <is>
          <t>At 50% collected (kicker push target)</t>
        </is>
      </c>
      <c r="C11" s="17" t="inlineStr">
        <is>
          <t>$45,000 x 50% x 11% x (1-21%) = $1,955</t>
        </is>
      </c>
      <c r="D11" s="17" t="inlineStr">
        <is>
          <t>~59% of salary. Getting close.</t>
        </is>
      </c>
    </row>
    <row r="12" ht="36" customHeight="1">
      <c r="A12" s="29" t="inlineStr">
        <is>
          <t>5</t>
        </is>
      </c>
      <c r="B12" s="29" t="inlineStr">
        <is>
          <t>At 75% collected (high performers)</t>
        </is>
      </c>
      <c r="C12" s="29" t="inlineStr">
        <is>
          <t>$45,000 x 75% x 11% x (1-21%) = $2,933</t>
        </is>
      </c>
      <c r="D12" s="29" t="inlineStr">
        <is>
          <t>~89% of salary. Agent covers themselves AND generates profit.</t>
        </is>
      </c>
    </row>
    <row r="13" ht="36" customHeight="1">
      <c r="A13" s="17" t="inlineStr">
        <is>
          <t>6</t>
        </is>
      </c>
      <c r="B13" s="17" t="inlineStr">
        <is>
          <t>Plus lifetime renewal value</t>
        </is>
      </c>
      <c r="C13" s="17" t="inlineStr">
        <is>
          <t>~30% of NB renews -&gt; repeat commission next year</t>
        </is>
      </c>
      <c r="D13" s="17" t="inlineStr">
        <is>
          <t>A $40k well-collected NB book this year becomes ~$12k of guaranteed renewal commission next year. Book-building is the long-term math.</t>
        </is>
      </c>
    </row>
    <row r="14" ht="36" customHeight="1">
      <c r="A14" s="29" t="inlineStr">
        <is>
          <t>7</t>
        </is>
      </c>
      <c r="B14" s="29" t="inlineStr">
        <is>
          <t>Therefore</t>
        </is>
      </c>
      <c r="C14" s="29" t="inlineStr">
        <is>
          <t>-</t>
        </is>
      </c>
      <c r="D14" s="29" t="inlineStr">
        <is>
          <t>The minimum is the PRODUCTION FLOOR. The KICKER (collected % bonus) is the PROFITABILITY LEVER. Hitting both unlocks the bonus AND makes the agent self-funding.</t>
        </is>
      </c>
    </row>
    <row r="16">
      <c r="A16" s="5" t="inlineStr">
        <is>
          <t>PASS RATES AT THE PROPOSED MINIMUMS ($45,000 NB / $0 REN)</t>
        </is>
      </c>
    </row>
    <row r="17">
      <c r="A17" s="6" t="inlineStr">
        <is>
          <t>Gate</t>
        </is>
      </c>
      <c r="B17" s="6" t="inlineStr">
        <is>
          <t>REAL data</t>
        </is>
      </c>
      <c r="C17" s="6" t="inlineStr">
        <is>
          <t>SWAP data (50% RWR→REN)</t>
        </is>
      </c>
      <c r="D17" s="6" t="inlineStr">
        <is>
          <t>Read</t>
        </is>
      </c>
    </row>
    <row r="18" ht="36" customHeight="1">
      <c r="A18" s="29" t="inlineStr">
        <is>
          <t>NB gate</t>
        </is>
      </c>
      <c r="B18" s="29" t="inlineStr">
        <is>
          <t>4/24 (17%)</t>
        </is>
      </c>
      <c r="C18" s="29" t="inlineStr">
        <is>
          <t>4/24 (17%)</t>
        </is>
      </c>
      <c r="D18" s="29" t="inlineStr">
        <is>
          <t>NB gate is achievable on today's behavior. Most agents earn NB bonus most months.</t>
        </is>
      </c>
    </row>
    <row r="19" ht="36" customHeight="1">
      <c r="A19" s="17" t="inlineStr">
        <is>
          <t>REN gate</t>
        </is>
      </c>
      <c r="B19" s="17" t="inlineStr">
        <is>
          <t>24/24 (100%)</t>
        </is>
      </c>
      <c r="C19" s="17" t="inlineStr">
        <is>
          <t>24/24 (100%)</t>
        </is>
      </c>
      <c r="D19" s="17" t="inlineStr">
        <is>
          <t>REN gate is gated by today's almost-zero renewals. Once agents shift behavior, almost all months pass.</t>
        </is>
      </c>
    </row>
    <row r="20" ht="36" customHeight="1">
      <c r="A20" s="29" t="inlineStr">
        <is>
          <t>RWR gate (needs both)</t>
        </is>
      </c>
      <c r="B20" s="29" t="inlineStr">
        <is>
          <t>4/24 (17%)</t>
        </is>
      </c>
      <c r="C20" s="29" t="inlineStr">
        <is>
          <t>4/24 (17%)</t>
        </is>
      </c>
      <c r="D20" s="29" t="inlineStr">
        <is>
          <t>RWR pay unlocks alongside REN. The lever is the behavior change.</t>
        </is>
      </c>
    </row>
    <row r="22">
      <c r="A22" s="5" t="inlineStr">
        <is>
          <t>RULES</t>
        </is>
      </c>
    </row>
    <row r="23">
      <c r="A23" s="6" t="inlineStr">
        <is>
          <t>Bonus line</t>
        </is>
      </c>
      <c r="B23" s="6" t="inlineStr">
        <is>
          <t>Gate</t>
        </is>
      </c>
      <c r="C23" s="6" t="inlineStr">
        <is>
          <t>If gate passes</t>
        </is>
      </c>
      <c r="D23" s="6" t="inlineStr">
        <is>
          <t>If gate fails</t>
        </is>
      </c>
    </row>
    <row r="24" ht="30" customHeight="1">
      <c r="A24" s="29" t="inlineStr">
        <is>
          <t>NB bonus line</t>
        </is>
      </c>
      <c r="B24" s="29" t="inlineStr">
        <is>
          <t>NB written premium &gt;= $45,000 this month</t>
        </is>
      </c>
      <c r="C24" s="29" t="inlineStr">
        <is>
          <t>Pay the full NB target (from proposal rules + kicker)</t>
        </is>
      </c>
      <c r="D24" s="29" t="inlineStr">
        <is>
          <t>NB bonus = $0 this month</t>
        </is>
      </c>
    </row>
    <row r="25" ht="30" customHeight="1">
      <c r="A25" s="30" t="inlineStr">
        <is>
          <t>REN bonus line</t>
        </is>
      </c>
      <c r="B25" s="30" t="inlineStr">
        <is>
          <t>REN written premium &gt;= $0 this month</t>
        </is>
      </c>
      <c r="C25" s="30" t="inlineStr">
        <is>
          <t>Pay the full REN target</t>
        </is>
      </c>
      <c r="D25" s="30" t="inlineStr">
        <is>
          <t>REN bonus = $0 this month</t>
        </is>
      </c>
    </row>
    <row r="26" ht="30" customHeight="1">
      <c r="A26" s="29" t="inlineStr">
        <is>
          <t>RWR bonus line</t>
        </is>
      </c>
      <c r="B26" s="29" t="inlineStr">
        <is>
          <t>BOTH gates pass</t>
        </is>
      </c>
      <c r="C26" s="29" t="inlineStr">
        <is>
          <t>Pay the full RWR target ($2/policy x kicker)</t>
        </is>
      </c>
      <c r="D26" s="29" t="inlineStr">
        <is>
          <t>RWR bonus = $0 this month - even with 50 rewrites</t>
        </is>
      </c>
    </row>
    <row r="28">
      <c r="A28" s="5" t="inlineStr">
        <is>
          <t>WHO QUALIFIES IN REAL DATA (Jan-Apr 2026)</t>
        </is>
      </c>
    </row>
    <row r="29">
      <c r="A29" s="6" t="inlineStr">
        <is>
          <t>Agent</t>
        </is>
      </c>
      <c r="B29" s="6" t="inlineStr">
        <is>
          <t>Month</t>
        </is>
      </c>
      <c r="C29" s="6" t="inlineStr">
        <is>
          <t>NB Premium</t>
        </is>
      </c>
      <c r="D29" s="6" t="inlineStr">
        <is>
          <t>REN Premium</t>
        </is>
      </c>
      <c r="E29" s="6" t="inlineStr">
        <is>
          <t>NB Gate (&gt;=$50k)</t>
        </is>
      </c>
      <c r="F29" s="6" t="inlineStr">
        <is>
          <t>REN Gate (&gt;=$50k)</t>
        </is>
      </c>
      <c r="G29" s="6" t="inlineStr">
        <is>
          <t>RWR Gate (both)</t>
        </is>
      </c>
      <c r="H29" s="6" t="inlineStr">
        <is>
          <t>A bonus paid</t>
        </is>
      </c>
      <c r="I29" s="6" t="inlineStr">
        <is>
          <t>B bonus paid</t>
        </is>
      </c>
      <c r="J29" s="6" t="inlineStr">
        <is>
          <t>C bonus paid</t>
        </is>
      </c>
    </row>
    <row r="30">
      <c r="A30" s="17" t="inlineStr">
        <is>
          <t>Abel Guaina</t>
        </is>
      </c>
      <c r="B30" s="17" t="inlineStr">
        <is>
          <t>January</t>
        </is>
      </c>
      <c r="C30" s="19" t="n">
        <v>38611.42</v>
      </c>
      <c r="D30" s="19" t="n">
        <v>7605</v>
      </c>
      <c r="E30" s="31" t="inlineStr">
        <is>
          <t>fail</t>
        </is>
      </c>
      <c r="F30" s="32" t="inlineStr">
        <is>
          <t>PASS</t>
        </is>
      </c>
      <c r="G30" s="31" t="inlineStr">
        <is>
          <t>fail</t>
        </is>
      </c>
      <c r="H30" s="19" t="n">
        <v>261</v>
      </c>
      <c r="I30" s="19" t="n">
        <v>78.20999999999999</v>
      </c>
      <c r="J30" s="19" t="n">
        <v>79.2</v>
      </c>
    </row>
    <row r="31">
      <c r="A31" s="17" t="inlineStr">
        <is>
          <t>Abel Guaina</t>
        </is>
      </c>
      <c r="B31" s="17" t="inlineStr">
        <is>
          <t>February</t>
        </is>
      </c>
      <c r="C31" s="19" t="n">
        <v>25367</v>
      </c>
      <c r="D31" s="19" t="n">
        <v>7517</v>
      </c>
      <c r="E31" s="31" t="inlineStr">
        <is>
          <t>fail</t>
        </is>
      </c>
      <c r="F31" s="32" t="inlineStr">
        <is>
          <t>PASS</t>
        </is>
      </c>
      <c r="G31" s="31" t="inlineStr">
        <is>
          <t>fail</t>
        </is>
      </c>
      <c r="H31" s="19" t="n">
        <v>253</v>
      </c>
      <c r="I31" s="19" t="n">
        <v>60.83</v>
      </c>
      <c r="J31" s="19" t="n">
        <v>61.60000000000001</v>
      </c>
    </row>
    <row r="32">
      <c r="A32" s="17" t="inlineStr">
        <is>
          <t>Abel Guaina</t>
        </is>
      </c>
      <c r="B32" s="17" t="inlineStr">
        <is>
          <t>March</t>
        </is>
      </c>
      <c r="C32" s="19" t="n">
        <v>46523.37</v>
      </c>
      <c r="D32" s="19" t="n">
        <v>3901</v>
      </c>
      <c r="E32" s="32" t="inlineStr">
        <is>
          <t>PASS</t>
        </is>
      </c>
      <c r="F32" s="32" t="inlineStr">
        <is>
          <t>PASS</t>
        </is>
      </c>
      <c r="G32" s="32" t="inlineStr">
        <is>
          <t>PASS</t>
        </is>
      </c>
      <c r="H32" s="19" t="n">
        <v>507.0011111111111</v>
      </c>
      <c r="I32" s="19" t="n">
        <v>475.825</v>
      </c>
      <c r="J32" s="19" t="n">
        <v>304.7</v>
      </c>
    </row>
    <row r="33">
      <c r="A33" s="17" t="inlineStr">
        <is>
          <t>Abel Guaina</t>
        </is>
      </c>
      <c r="B33" s="17" t="inlineStr">
        <is>
          <t>April</t>
        </is>
      </c>
      <c r="C33" s="19" t="n">
        <v>37825.93</v>
      </c>
      <c r="D33" s="19" t="n">
        <v>10935.99</v>
      </c>
      <c r="E33" s="31" t="inlineStr">
        <is>
          <t>fail</t>
        </is>
      </c>
      <c r="F33" s="32" t="inlineStr">
        <is>
          <t>PASS</t>
        </is>
      </c>
      <c r="G33" s="31" t="inlineStr">
        <is>
          <t>fail</t>
        </is>
      </c>
      <c r="H33" s="19" t="n">
        <v>280.4844333333334</v>
      </c>
      <c r="I33" s="19" t="n">
        <v>118.105</v>
      </c>
      <c r="J33" s="19" t="n">
        <v>119.6</v>
      </c>
    </row>
    <row r="34">
      <c r="A34" s="17" t="inlineStr">
        <is>
          <t>Dialinerys Dieguez</t>
        </is>
      </c>
      <c r="B34" s="17" t="inlineStr">
        <is>
          <t>January</t>
        </is>
      </c>
      <c r="C34" s="19" t="n">
        <v>40249.26</v>
      </c>
      <c r="D34" s="19" t="n">
        <v>12530.47</v>
      </c>
      <c r="E34" s="31" t="inlineStr">
        <is>
          <t>fail</t>
        </is>
      </c>
      <c r="F34" s="32" t="inlineStr">
        <is>
          <t>PASS</t>
        </is>
      </c>
      <c r="G34" s="31" t="inlineStr">
        <is>
          <t>fail</t>
        </is>
      </c>
      <c r="H34" s="19" t="n">
        <v>275.5894111111111</v>
      </c>
      <c r="I34" s="19" t="n">
        <v>99.935</v>
      </c>
      <c r="J34" s="19" t="n">
        <v>101.2</v>
      </c>
    </row>
    <row r="35">
      <c r="A35" s="17" t="inlineStr">
        <is>
          <t>Dialinerys Dieguez</t>
        </is>
      </c>
      <c r="B35" s="17" t="inlineStr">
        <is>
          <t>February</t>
        </is>
      </c>
      <c r="C35" s="19" t="n">
        <v>30057.89</v>
      </c>
      <c r="D35" s="19" t="n">
        <v>11629.68</v>
      </c>
      <c r="E35" s="31" t="inlineStr">
        <is>
          <t>fail</t>
        </is>
      </c>
      <c r="F35" s="32" t="inlineStr">
        <is>
          <t>PASS</t>
        </is>
      </c>
      <c r="G35" s="31" t="inlineStr">
        <is>
          <t>fail</t>
        </is>
      </c>
      <c r="H35" s="19" t="n">
        <v>279</v>
      </c>
      <c r="I35" s="19" t="n">
        <v>78.20999999999999</v>
      </c>
      <c r="J35" s="19" t="n">
        <v>79.2</v>
      </c>
    </row>
    <row r="36">
      <c r="A36" s="17" t="inlineStr">
        <is>
          <t>Dialinerys Dieguez</t>
        </is>
      </c>
      <c r="B36" s="17" t="inlineStr">
        <is>
          <t>March</t>
        </is>
      </c>
      <c r="C36" s="19" t="n">
        <v>52434.9</v>
      </c>
      <c r="D36" s="19" t="n">
        <v>5962.5</v>
      </c>
      <c r="E36" s="32" t="inlineStr">
        <is>
          <t>PASS</t>
        </is>
      </c>
      <c r="F36" s="32" t="inlineStr">
        <is>
          <t>PASS</t>
        </is>
      </c>
      <c r="G36" s="32" t="inlineStr">
        <is>
          <t>PASS</t>
        </is>
      </c>
      <c r="H36" s="19" t="n">
        <v>728.9375</v>
      </c>
      <c r="I36" s="19" t="n">
        <v>765.74</v>
      </c>
      <c r="J36" s="19" t="n">
        <v>477.5</v>
      </c>
    </row>
    <row r="37">
      <c r="A37" s="17" t="inlineStr">
        <is>
          <t>Dialinerys Dieguez</t>
        </is>
      </c>
      <c r="B37" s="17" t="inlineStr">
        <is>
          <t>April</t>
        </is>
      </c>
      <c r="C37" s="19" t="n">
        <v>49689.35</v>
      </c>
      <c r="D37" s="19" t="n">
        <v>19575</v>
      </c>
      <c r="E37" s="32" t="inlineStr">
        <is>
          <t>PASS</t>
        </is>
      </c>
      <c r="F37" s="32" t="inlineStr">
        <is>
          <t>PASS</t>
        </is>
      </c>
      <c r="G37" s="32" t="inlineStr">
        <is>
          <t>PASS</t>
        </is>
      </c>
      <c r="H37" s="19" t="n">
        <v>649.9615888888889</v>
      </c>
      <c r="I37" s="19" t="n">
        <v>594.11</v>
      </c>
      <c r="J37" s="19" t="n">
        <v>358.6</v>
      </c>
    </row>
    <row r="38">
      <c r="A38" s="17" t="inlineStr">
        <is>
          <t>Melissa Hernandez</t>
        </is>
      </c>
      <c r="B38" s="17" t="inlineStr">
        <is>
          <t>January</t>
        </is>
      </c>
      <c r="C38" s="19" t="n">
        <v>37039</v>
      </c>
      <c r="D38" s="19" t="n">
        <v>0</v>
      </c>
      <c r="E38" s="31" t="inlineStr">
        <is>
          <t>fail</t>
        </is>
      </c>
      <c r="F38" s="32" t="inlineStr">
        <is>
          <t>PASS</t>
        </is>
      </c>
      <c r="G38" s="31" t="inlineStr">
        <is>
          <t>fail</t>
        </is>
      </c>
      <c r="H38" s="19" t="n">
        <v>225</v>
      </c>
      <c r="I38" s="19" t="n">
        <v>0</v>
      </c>
      <c r="J38" s="19" t="n">
        <v>0</v>
      </c>
    </row>
    <row r="39">
      <c r="A39" s="17" t="inlineStr">
        <is>
          <t>Melissa Hernandez</t>
        </is>
      </c>
      <c r="B39" s="17" t="inlineStr">
        <is>
          <t>February</t>
        </is>
      </c>
      <c r="C39" s="19" t="n">
        <v>7659.5</v>
      </c>
      <c r="D39" s="19" t="n">
        <v>1063</v>
      </c>
      <c r="E39" s="31" t="inlineStr">
        <is>
          <t>fail</t>
        </is>
      </c>
      <c r="F39" s="32" t="inlineStr">
        <is>
          <t>PASS</t>
        </is>
      </c>
      <c r="G39" s="31" t="inlineStr">
        <is>
          <t>fail</t>
        </is>
      </c>
      <c r="H39" s="19" t="n">
        <v>229</v>
      </c>
      <c r="I39" s="19" t="n">
        <v>7.9</v>
      </c>
      <c r="J39" s="19" t="n">
        <v>8</v>
      </c>
    </row>
    <row r="40">
      <c r="A40" s="17" t="inlineStr">
        <is>
          <t>Melissa Hernandez</t>
        </is>
      </c>
      <c r="B40" s="17" t="inlineStr">
        <is>
          <t>March</t>
        </is>
      </c>
      <c r="C40" s="19" t="n">
        <v>39759.7</v>
      </c>
      <c r="D40" s="19" t="n">
        <v>1034</v>
      </c>
      <c r="E40" s="31" t="inlineStr">
        <is>
          <t>fail</t>
        </is>
      </c>
      <c r="F40" s="32" t="inlineStr">
        <is>
          <t>PASS</t>
        </is>
      </c>
      <c r="G40" s="31" t="inlineStr">
        <is>
          <t>fail</t>
        </is>
      </c>
      <c r="H40" s="19" t="n">
        <v>229</v>
      </c>
      <c r="I40" s="19" t="n">
        <v>8.690000000000001</v>
      </c>
      <c r="J40" s="19" t="n">
        <v>8.800000000000001</v>
      </c>
    </row>
    <row r="41">
      <c r="A41" s="17" t="inlineStr">
        <is>
          <t>Melissa Hernandez</t>
        </is>
      </c>
      <c r="B41" s="17" t="inlineStr">
        <is>
          <t>April</t>
        </is>
      </c>
      <c r="C41" s="19" t="n">
        <v>19288.35</v>
      </c>
      <c r="D41" s="19" t="n">
        <v>0</v>
      </c>
      <c r="E41" s="31" t="inlineStr">
        <is>
          <t>fail</t>
        </is>
      </c>
      <c r="F41" s="32" t="inlineStr">
        <is>
          <t>PASS</t>
        </is>
      </c>
      <c r="G41" s="31" t="inlineStr">
        <is>
          <t>fail</t>
        </is>
      </c>
      <c r="H41" s="19" t="n">
        <v>225</v>
      </c>
      <c r="I41" s="19" t="n">
        <v>0</v>
      </c>
      <c r="J41" s="19" t="n">
        <v>0</v>
      </c>
    </row>
    <row r="42">
      <c r="A42" s="17" t="inlineStr">
        <is>
          <t>Flavia Parra</t>
        </is>
      </c>
      <c r="B42" s="17" t="inlineStr">
        <is>
          <t>January</t>
        </is>
      </c>
      <c r="C42" s="19" t="n">
        <v>28525.05</v>
      </c>
      <c r="D42" s="19" t="n">
        <v>1464.35</v>
      </c>
      <c r="E42" s="31" t="inlineStr">
        <is>
          <t>fail</t>
        </is>
      </c>
      <c r="F42" s="32" t="inlineStr">
        <is>
          <t>PASS</t>
        </is>
      </c>
      <c r="G42" s="31" t="inlineStr">
        <is>
          <t>fail</t>
        </is>
      </c>
      <c r="H42" s="19" t="n">
        <v>231</v>
      </c>
      <c r="I42" s="19" t="n">
        <v>8.690000000000001</v>
      </c>
      <c r="J42" s="19" t="n">
        <v>8.800000000000001</v>
      </c>
    </row>
    <row r="43">
      <c r="A43" s="17" t="inlineStr">
        <is>
          <t>Flavia Parra</t>
        </is>
      </c>
      <c r="B43" s="17" t="inlineStr">
        <is>
          <t>February</t>
        </is>
      </c>
      <c r="C43" s="19" t="n">
        <v>22247.7</v>
      </c>
      <c r="D43" s="19" t="n">
        <v>2099</v>
      </c>
      <c r="E43" s="31" t="inlineStr">
        <is>
          <t>fail</t>
        </is>
      </c>
      <c r="F43" s="32" t="inlineStr">
        <is>
          <t>PASS</t>
        </is>
      </c>
      <c r="G43" s="31" t="inlineStr">
        <is>
          <t>fail</t>
        </is>
      </c>
      <c r="H43" s="19" t="n">
        <v>233</v>
      </c>
      <c r="I43" s="19" t="n">
        <v>17.38</v>
      </c>
      <c r="J43" s="19" t="n">
        <v>17.6</v>
      </c>
    </row>
    <row r="44">
      <c r="A44" s="17" t="inlineStr">
        <is>
          <t>Flavia Parra</t>
        </is>
      </c>
      <c r="B44" s="17" t="inlineStr">
        <is>
          <t>March</t>
        </is>
      </c>
      <c r="C44" s="19" t="n">
        <v>31269</v>
      </c>
      <c r="D44" s="19" t="n">
        <v>0</v>
      </c>
      <c r="E44" s="31" t="inlineStr">
        <is>
          <t>fail</t>
        </is>
      </c>
      <c r="F44" s="32" t="inlineStr">
        <is>
          <t>PASS</t>
        </is>
      </c>
      <c r="G44" s="31" t="inlineStr">
        <is>
          <t>fail</t>
        </is>
      </c>
      <c r="H44" s="19" t="n">
        <v>225</v>
      </c>
      <c r="I44" s="19" t="n">
        <v>0</v>
      </c>
      <c r="J44" s="19" t="n">
        <v>0</v>
      </c>
    </row>
    <row r="45">
      <c r="A45" s="17" t="inlineStr">
        <is>
          <t>Flavia Parra</t>
        </is>
      </c>
      <c r="B45" s="17" t="inlineStr">
        <is>
          <t>April</t>
        </is>
      </c>
      <c r="C45" s="19" t="n">
        <v>29581.05</v>
      </c>
      <c r="D45" s="19" t="n">
        <v>885</v>
      </c>
      <c r="E45" s="31" t="inlineStr">
        <is>
          <t>fail</t>
        </is>
      </c>
      <c r="F45" s="32" t="inlineStr">
        <is>
          <t>PASS</t>
        </is>
      </c>
      <c r="G45" s="31" t="inlineStr">
        <is>
          <t>fail</t>
        </is>
      </c>
      <c r="H45" s="19" t="n">
        <v>229.7916666666667</v>
      </c>
      <c r="I45" s="19" t="n">
        <v>9.875</v>
      </c>
      <c r="J45" s="19" t="n">
        <v>10</v>
      </c>
    </row>
    <row r="46">
      <c r="A46" s="17" t="inlineStr">
        <is>
          <t>Thalia Rojas</t>
        </is>
      </c>
      <c r="B46" s="17" t="inlineStr">
        <is>
          <t>January</t>
        </is>
      </c>
      <c r="C46" s="19" t="n">
        <v>15503.9</v>
      </c>
      <c r="D46" s="19" t="n">
        <v>3690</v>
      </c>
      <c r="E46" s="31" t="inlineStr">
        <is>
          <t>fail</t>
        </is>
      </c>
      <c r="F46" s="32" t="inlineStr">
        <is>
          <t>PASS</t>
        </is>
      </c>
      <c r="G46" s="31" t="inlineStr">
        <is>
          <t>fail</t>
        </is>
      </c>
      <c r="H46" s="19" t="n">
        <v>241</v>
      </c>
      <c r="I46" s="19" t="n">
        <v>34.76000000000001</v>
      </c>
      <c r="J46" s="19" t="n">
        <v>35.2</v>
      </c>
    </row>
    <row r="47">
      <c r="A47" s="17" t="inlineStr">
        <is>
          <t>Thalia Rojas</t>
        </is>
      </c>
      <c r="B47" s="17" t="inlineStr">
        <is>
          <t>February</t>
        </is>
      </c>
      <c r="C47" s="19" t="n">
        <v>19414.25</v>
      </c>
      <c r="D47" s="19" t="n">
        <v>7446</v>
      </c>
      <c r="E47" s="31" t="inlineStr">
        <is>
          <t>fail</t>
        </is>
      </c>
      <c r="F47" s="32" t="inlineStr">
        <is>
          <t>PASS</t>
        </is>
      </c>
      <c r="G47" s="31" t="inlineStr">
        <is>
          <t>fail</t>
        </is>
      </c>
      <c r="H47" s="19" t="n">
        <v>259.94</v>
      </c>
      <c r="I47" s="19" t="n">
        <v>45.425</v>
      </c>
      <c r="J47" s="19" t="n">
        <v>46</v>
      </c>
    </row>
    <row r="48">
      <c r="A48" s="17" t="inlineStr">
        <is>
          <t>Thalia Rojas</t>
        </is>
      </c>
      <c r="B48" s="17" t="inlineStr">
        <is>
          <t>March</t>
        </is>
      </c>
      <c r="C48" s="19" t="n">
        <v>17843.69</v>
      </c>
      <c r="D48" s="19" t="n">
        <v>5643.9</v>
      </c>
      <c r="E48" s="31" t="inlineStr">
        <is>
          <t>fail</t>
        </is>
      </c>
      <c r="F48" s="32" t="inlineStr">
        <is>
          <t>PASS</t>
        </is>
      </c>
      <c r="G48" s="31" t="inlineStr">
        <is>
          <t>fail</t>
        </is>
      </c>
      <c r="H48" s="19" t="n">
        <v>251.271</v>
      </c>
      <c r="I48" s="19" t="n">
        <v>54.50999999999999</v>
      </c>
      <c r="J48" s="19" t="n">
        <v>55.2</v>
      </c>
    </row>
    <row r="49">
      <c r="A49" s="17" t="inlineStr">
        <is>
          <t>Thalia Rojas</t>
        </is>
      </c>
      <c r="B49" s="17" t="inlineStr">
        <is>
          <t>April</t>
        </is>
      </c>
      <c r="C49" s="19" t="n">
        <v>14099</v>
      </c>
      <c r="D49" s="19" t="n">
        <v>3617</v>
      </c>
      <c r="E49" s="31" t="inlineStr">
        <is>
          <t>fail</t>
        </is>
      </c>
      <c r="F49" s="32" t="inlineStr">
        <is>
          <t>PASS</t>
        </is>
      </c>
      <c r="G49" s="31" t="inlineStr">
        <is>
          <t>fail</t>
        </is>
      </c>
      <c r="H49" s="19" t="n">
        <v>246.0283333333333</v>
      </c>
      <c r="I49" s="19" t="n">
        <v>28.44</v>
      </c>
      <c r="J49" s="19" t="n">
        <v>28.8</v>
      </c>
    </row>
    <row r="50">
      <c r="A50" s="17" t="inlineStr">
        <is>
          <t>Monica Valdes</t>
        </is>
      </c>
      <c r="B50" s="17" t="inlineStr">
        <is>
          <t>January</t>
        </is>
      </c>
      <c r="C50" s="19" t="n">
        <v>28605.29</v>
      </c>
      <c r="D50" s="19" t="n">
        <v>6502.91</v>
      </c>
      <c r="E50" s="31" t="inlineStr">
        <is>
          <t>fail</t>
        </is>
      </c>
      <c r="F50" s="32" t="inlineStr">
        <is>
          <t>PASS</t>
        </is>
      </c>
      <c r="G50" s="31" t="inlineStr">
        <is>
          <t>fail</t>
        </is>
      </c>
      <c r="H50" s="19" t="n">
        <v>249</v>
      </c>
      <c r="I50" s="19" t="n">
        <v>52.14</v>
      </c>
      <c r="J50" s="19" t="n">
        <v>52.8</v>
      </c>
    </row>
    <row r="51">
      <c r="A51" s="17" t="inlineStr">
        <is>
          <t>Monica Valdes</t>
        </is>
      </c>
      <c r="B51" s="17" t="inlineStr">
        <is>
          <t>February</t>
        </is>
      </c>
      <c r="C51" s="19" t="n">
        <v>31516.95</v>
      </c>
      <c r="D51" s="19" t="n">
        <v>3092</v>
      </c>
      <c r="E51" s="31" t="inlineStr">
        <is>
          <t>fail</t>
        </is>
      </c>
      <c r="F51" s="32" t="inlineStr">
        <is>
          <t>PASS</t>
        </is>
      </c>
      <c r="G51" s="31" t="inlineStr">
        <is>
          <t>fail</t>
        </is>
      </c>
      <c r="H51" s="19" t="n">
        <v>237</v>
      </c>
      <c r="I51" s="19" t="n">
        <v>15.8</v>
      </c>
      <c r="J51" s="19" t="n">
        <v>16</v>
      </c>
    </row>
    <row r="52">
      <c r="A52" s="17" t="inlineStr">
        <is>
          <t>Monica Valdes</t>
        </is>
      </c>
      <c r="B52" s="17" t="inlineStr">
        <is>
          <t>March</t>
        </is>
      </c>
      <c r="C52" s="19" t="n">
        <v>68546.22</v>
      </c>
      <c r="D52" s="19" t="n">
        <v>0</v>
      </c>
      <c r="E52" s="32" t="inlineStr">
        <is>
          <t>PASS</t>
        </is>
      </c>
      <c r="F52" s="32" t="inlineStr">
        <is>
          <t>PASS</t>
        </is>
      </c>
      <c r="G52" s="32" t="inlineStr">
        <is>
          <t>PASS</t>
        </is>
      </c>
      <c r="H52" s="19" t="n">
        <v>669</v>
      </c>
      <c r="I52" s="19" t="n">
        <v>574.7600000000001</v>
      </c>
      <c r="J52" s="19" t="n">
        <v>344.8</v>
      </c>
    </row>
    <row r="53">
      <c r="A53" s="17" t="inlineStr">
        <is>
          <t>Monica Valdes</t>
        </is>
      </c>
      <c r="B53" s="17" t="inlineStr">
        <is>
          <t>April</t>
        </is>
      </c>
      <c r="C53" s="19" t="n">
        <v>29755.49</v>
      </c>
      <c r="D53" s="19" t="n">
        <v>2514</v>
      </c>
      <c r="E53" s="31" t="inlineStr">
        <is>
          <t>fail</t>
        </is>
      </c>
      <c r="F53" s="32" t="inlineStr">
        <is>
          <t>PASS</t>
        </is>
      </c>
      <c r="G53" s="31" t="inlineStr">
        <is>
          <t>fail</t>
        </is>
      </c>
      <c r="H53" s="19" t="n">
        <v>237</v>
      </c>
      <c r="I53" s="19" t="n">
        <v>15.8</v>
      </c>
      <c r="J53" s="19" t="n">
        <v>16</v>
      </c>
    </row>
    <row r="56">
      <c r="A56" s="5" t="inlineStr">
        <is>
          <t>WHO QUALIFIES IF 50% OF RWR BECOMES REN</t>
        </is>
      </c>
    </row>
    <row r="57">
      <c r="A57" s="6" t="inlineStr">
        <is>
          <t>Agent</t>
        </is>
      </c>
      <c r="B57" s="6" t="inlineStr">
        <is>
          <t>Month</t>
        </is>
      </c>
      <c r="C57" s="6" t="inlineStr">
        <is>
          <t>NB Premium</t>
        </is>
      </c>
      <c r="D57" s="6" t="inlineStr">
        <is>
          <t>REN Premium</t>
        </is>
      </c>
      <c r="E57" s="6" t="inlineStr">
        <is>
          <t>NB Gate (&gt;=$50k)</t>
        </is>
      </c>
      <c r="F57" s="6" t="inlineStr">
        <is>
          <t>REN Gate (&gt;=$50k)</t>
        </is>
      </c>
      <c r="G57" s="6" t="inlineStr">
        <is>
          <t>RWR Gate (both)</t>
        </is>
      </c>
      <c r="H57" s="6" t="inlineStr">
        <is>
          <t>A bonus paid</t>
        </is>
      </c>
      <c r="I57" s="6" t="inlineStr">
        <is>
          <t>B bonus paid</t>
        </is>
      </c>
      <c r="J57" s="6" t="inlineStr">
        <is>
          <t>C bonus paid</t>
        </is>
      </c>
    </row>
    <row r="58">
      <c r="A58" s="17" t="inlineStr">
        <is>
          <t>Abel Guaina</t>
        </is>
      </c>
      <c r="B58" s="17" t="inlineStr">
        <is>
          <t>January</t>
        </is>
      </c>
      <c r="C58" s="19" t="n">
        <v>38611.42</v>
      </c>
      <c r="D58" s="19" t="n">
        <v>21364.25</v>
      </c>
      <c r="E58" s="31" t="inlineStr">
        <is>
          <t>fail</t>
        </is>
      </c>
      <c r="F58" s="32" t="inlineStr">
        <is>
          <t>PASS</t>
        </is>
      </c>
      <c r="G58" s="31" t="inlineStr">
        <is>
          <t>fail</t>
        </is>
      </c>
      <c r="H58" s="19" t="n">
        <v>327</v>
      </c>
      <c r="I58" s="19" t="n">
        <v>147.73</v>
      </c>
      <c r="J58" s="19" t="n">
        <v>149.6</v>
      </c>
    </row>
    <row r="59">
      <c r="A59" s="17" t="inlineStr">
        <is>
          <t>Abel Guaina</t>
        </is>
      </c>
      <c r="B59" s="17" t="inlineStr">
        <is>
          <t>February</t>
        </is>
      </c>
      <c r="C59" s="19" t="n">
        <v>25367</v>
      </c>
      <c r="D59" s="19" t="n">
        <v>22838.5</v>
      </c>
      <c r="E59" s="31" t="inlineStr">
        <is>
          <t>fail</t>
        </is>
      </c>
      <c r="F59" s="32" t="inlineStr">
        <is>
          <t>PASS</t>
        </is>
      </c>
      <c r="G59" s="31" t="inlineStr">
        <is>
          <t>fail</t>
        </is>
      </c>
      <c r="H59" s="19" t="n">
        <v>327</v>
      </c>
      <c r="I59" s="19" t="n">
        <v>147.73</v>
      </c>
      <c r="J59" s="19" t="n">
        <v>149.6</v>
      </c>
    </row>
    <row r="60">
      <c r="A60" s="17" t="inlineStr">
        <is>
          <t>Abel Guaina</t>
        </is>
      </c>
      <c r="B60" s="17" t="inlineStr">
        <is>
          <t>March</t>
        </is>
      </c>
      <c r="C60" s="19" t="n">
        <v>46523.37</v>
      </c>
      <c r="D60" s="19" t="n">
        <v>16514.8</v>
      </c>
      <c r="E60" s="32" t="inlineStr">
        <is>
          <t>PASS</t>
        </is>
      </c>
      <c r="F60" s="32" t="inlineStr">
        <is>
          <t>PASS</t>
        </is>
      </c>
      <c r="G60" s="32" t="inlineStr">
        <is>
          <t>PASS</t>
        </is>
      </c>
      <c r="H60" s="19" t="n">
        <v>549.6831111111111</v>
      </c>
      <c r="I60" s="19" t="n">
        <v>530.905</v>
      </c>
      <c r="J60" s="19" t="n">
        <v>369.5</v>
      </c>
    </row>
    <row r="61">
      <c r="A61" s="17" t="inlineStr">
        <is>
          <t>Abel Guaina</t>
        </is>
      </c>
      <c r="B61" s="17" t="inlineStr">
        <is>
          <t>April</t>
        </is>
      </c>
      <c r="C61" s="19" t="n">
        <v>37825.93</v>
      </c>
      <c r="D61" s="19" t="n">
        <v>18616.965</v>
      </c>
      <c r="E61" s="31" t="inlineStr">
        <is>
          <t>fail</t>
        </is>
      </c>
      <c r="F61" s="32" t="inlineStr">
        <is>
          <t>PASS</t>
        </is>
      </c>
      <c r="G61" s="31" t="inlineStr">
        <is>
          <t>fail</t>
        </is>
      </c>
      <c r="H61" s="19" t="n">
        <v>315.6855166666667</v>
      </c>
      <c r="I61" s="19" t="n">
        <v>190.785</v>
      </c>
      <c r="J61" s="19" t="n">
        <v>193.2</v>
      </c>
    </row>
    <row r="62">
      <c r="A62" s="17" t="inlineStr">
        <is>
          <t>Dialinerys Dieguez</t>
        </is>
      </c>
      <c r="B62" s="17" t="inlineStr">
        <is>
          <t>January</t>
        </is>
      </c>
      <c r="C62" s="19" t="n">
        <v>40249.26</v>
      </c>
      <c r="D62" s="19" t="n">
        <v>45368.16</v>
      </c>
      <c r="E62" s="31" t="inlineStr">
        <is>
          <t>fail</t>
        </is>
      </c>
      <c r="F62" s="32" t="inlineStr">
        <is>
          <t>PASS</t>
        </is>
      </c>
      <c r="G62" s="31" t="inlineStr">
        <is>
          <t>fail</t>
        </is>
      </c>
      <c r="H62" s="19" t="n">
        <v>435</v>
      </c>
      <c r="I62" s="19" t="n">
        <v>304.15</v>
      </c>
      <c r="J62" s="19" t="n">
        <v>308</v>
      </c>
    </row>
    <row r="63">
      <c r="A63" s="17" t="inlineStr">
        <is>
          <t>Dialinerys Dieguez</t>
        </is>
      </c>
      <c r="B63" s="17" t="inlineStr">
        <is>
          <t>February</t>
        </is>
      </c>
      <c r="C63" s="19" t="n">
        <v>30057.89</v>
      </c>
      <c r="D63" s="19" t="n">
        <v>54401.98</v>
      </c>
      <c r="E63" s="31" t="inlineStr">
        <is>
          <t>fail</t>
        </is>
      </c>
      <c r="F63" s="32" t="inlineStr">
        <is>
          <t>PASS</t>
        </is>
      </c>
      <c r="G63" s="31" t="inlineStr">
        <is>
          <t>fail</t>
        </is>
      </c>
      <c r="H63" s="19" t="n">
        <v>447</v>
      </c>
      <c r="I63" s="19" t="n">
        <v>321.53</v>
      </c>
      <c r="J63" s="19" t="n">
        <v>325.6</v>
      </c>
    </row>
    <row r="64">
      <c r="A64" s="17" t="inlineStr">
        <is>
          <t>Dialinerys Dieguez</t>
        </is>
      </c>
      <c r="B64" s="17" t="inlineStr">
        <is>
          <t>March</t>
        </is>
      </c>
      <c r="C64" s="19" t="n">
        <v>52434.9</v>
      </c>
      <c r="D64" s="19" t="n">
        <v>54076.675</v>
      </c>
      <c r="E64" s="32" t="inlineStr">
        <is>
          <t>PASS</t>
        </is>
      </c>
      <c r="F64" s="32" t="inlineStr">
        <is>
          <t>PASS</t>
        </is>
      </c>
      <c r="G64" s="32" t="inlineStr">
        <is>
          <t>PASS</t>
        </is>
      </c>
      <c r="H64" s="19" t="n">
        <v>842</v>
      </c>
      <c r="I64" s="19" t="n">
        <v>980.8700000000001</v>
      </c>
      <c r="J64" s="19" t="n">
        <v>733.7</v>
      </c>
    </row>
    <row r="65">
      <c r="A65" s="17" t="inlineStr">
        <is>
          <t>Dialinerys Dieguez</t>
        </is>
      </c>
      <c r="B65" s="17" t="inlineStr">
        <is>
          <t>April</t>
        </is>
      </c>
      <c r="C65" s="19" t="n">
        <v>49689.35</v>
      </c>
      <c r="D65" s="19" t="n">
        <v>51657.715</v>
      </c>
      <c r="E65" s="32" t="inlineStr">
        <is>
          <t>PASS</t>
        </is>
      </c>
      <c r="F65" s="32" t="inlineStr">
        <is>
          <t>PASS</t>
        </is>
      </c>
      <c r="G65" s="32" t="inlineStr">
        <is>
          <t>PASS</t>
        </is>
      </c>
      <c r="H65" s="19" t="n">
        <v>734.9807944444444</v>
      </c>
      <c r="I65" s="19" t="n">
        <v>734.6900000000001</v>
      </c>
      <c r="J65" s="19" t="n">
        <v>526.9</v>
      </c>
    </row>
    <row r="66">
      <c r="A66" s="17" t="inlineStr">
        <is>
          <t>Melissa Hernandez</t>
        </is>
      </c>
      <c r="B66" s="17" t="inlineStr">
        <is>
          <t>January</t>
        </is>
      </c>
      <c r="C66" s="19" t="n">
        <v>37039</v>
      </c>
      <c r="D66" s="19" t="n">
        <v>31687.25</v>
      </c>
      <c r="E66" s="31" t="inlineStr">
        <is>
          <t>fail</t>
        </is>
      </c>
      <c r="F66" s="32" t="inlineStr">
        <is>
          <t>PASS</t>
        </is>
      </c>
      <c r="G66" s="31" t="inlineStr">
        <is>
          <t>fail</t>
        </is>
      </c>
      <c r="H66" s="19" t="n">
        <v>369</v>
      </c>
      <c r="I66" s="19" t="n">
        <v>208.56</v>
      </c>
      <c r="J66" s="19" t="n">
        <v>211.2</v>
      </c>
    </row>
    <row r="67">
      <c r="A67" s="17" t="inlineStr">
        <is>
          <t>Melissa Hernandez</t>
        </is>
      </c>
      <c r="B67" s="17" t="inlineStr">
        <is>
          <t>February</t>
        </is>
      </c>
      <c r="C67" s="19" t="n">
        <v>7659.5</v>
      </c>
      <c r="D67" s="19" t="n">
        <v>26058.35</v>
      </c>
      <c r="E67" s="31" t="inlineStr">
        <is>
          <t>fail</t>
        </is>
      </c>
      <c r="F67" s="32" t="inlineStr">
        <is>
          <t>PASS</t>
        </is>
      </c>
      <c r="G67" s="31" t="inlineStr">
        <is>
          <t>fail</t>
        </is>
      </c>
      <c r="H67" s="19" t="n">
        <v>339</v>
      </c>
      <c r="I67" s="19" t="n">
        <v>150.1</v>
      </c>
      <c r="J67" s="19" t="n">
        <v>152</v>
      </c>
    </row>
    <row r="68">
      <c r="A68" s="17" t="inlineStr">
        <is>
          <t>Melissa Hernandez</t>
        </is>
      </c>
      <c r="B68" s="17" t="inlineStr">
        <is>
          <t>March</t>
        </is>
      </c>
      <c r="C68" s="19" t="n">
        <v>39759.7</v>
      </c>
      <c r="D68" s="19" t="n">
        <v>29464.3</v>
      </c>
      <c r="E68" s="31" t="inlineStr">
        <is>
          <t>fail</t>
        </is>
      </c>
      <c r="F68" s="32" t="inlineStr">
        <is>
          <t>PASS</t>
        </is>
      </c>
      <c r="G68" s="31" t="inlineStr">
        <is>
          <t>fail</t>
        </is>
      </c>
      <c r="H68" s="19" t="n">
        <v>325</v>
      </c>
      <c r="I68" s="19" t="n">
        <v>217.25</v>
      </c>
      <c r="J68" s="19" t="n">
        <v>220</v>
      </c>
    </row>
    <row r="69">
      <c r="A69" s="17" t="inlineStr">
        <is>
          <t>Melissa Hernandez</t>
        </is>
      </c>
      <c r="B69" s="17" t="inlineStr">
        <is>
          <t>April</t>
        </is>
      </c>
      <c r="C69" s="19" t="n">
        <v>19288.35</v>
      </c>
      <c r="D69" s="19" t="n">
        <v>21698.1</v>
      </c>
      <c r="E69" s="31" t="inlineStr">
        <is>
          <t>fail</t>
        </is>
      </c>
      <c r="F69" s="32" t="inlineStr">
        <is>
          <t>PASS</t>
        </is>
      </c>
      <c r="G69" s="31" t="inlineStr">
        <is>
          <t>fail</t>
        </is>
      </c>
      <c r="H69" s="19" t="n">
        <v>333</v>
      </c>
      <c r="I69" s="19" t="n">
        <v>156.42</v>
      </c>
      <c r="J69" s="19" t="n">
        <v>158.4</v>
      </c>
    </row>
    <row r="70">
      <c r="A70" s="17" t="inlineStr">
        <is>
          <t>Flavia Parra</t>
        </is>
      </c>
      <c r="B70" s="17" t="inlineStr">
        <is>
          <t>January</t>
        </is>
      </c>
      <c r="C70" s="19" t="n">
        <v>28525.05</v>
      </c>
      <c r="D70" s="19" t="n">
        <v>21243.375</v>
      </c>
      <c r="E70" s="31" t="inlineStr">
        <is>
          <t>fail</t>
        </is>
      </c>
      <c r="F70" s="32" t="inlineStr">
        <is>
          <t>PASS</t>
        </is>
      </c>
      <c r="G70" s="31" t="inlineStr">
        <is>
          <t>fail</t>
        </is>
      </c>
      <c r="H70" s="19" t="n">
        <v>301</v>
      </c>
      <c r="I70" s="19" t="n">
        <v>165.11</v>
      </c>
      <c r="J70" s="19" t="n">
        <v>167.2</v>
      </c>
    </row>
    <row r="71">
      <c r="A71" s="17" t="inlineStr">
        <is>
          <t>Flavia Parra</t>
        </is>
      </c>
      <c r="B71" s="17" t="inlineStr">
        <is>
          <t>February</t>
        </is>
      </c>
      <c r="C71" s="19" t="n">
        <v>22247.7</v>
      </c>
      <c r="D71" s="19" t="n">
        <v>23942.725</v>
      </c>
      <c r="E71" s="31" t="inlineStr">
        <is>
          <t>fail</t>
        </is>
      </c>
      <c r="F71" s="32" t="inlineStr">
        <is>
          <t>PASS</t>
        </is>
      </c>
      <c r="G71" s="31" t="inlineStr">
        <is>
          <t>fail</t>
        </is>
      </c>
      <c r="H71" s="19" t="n">
        <v>328.2696944444444</v>
      </c>
      <c r="I71" s="19" t="n">
        <v>208.955</v>
      </c>
      <c r="J71" s="19" t="n">
        <v>211.6</v>
      </c>
    </row>
    <row r="72">
      <c r="A72" s="17" t="inlineStr">
        <is>
          <t>Flavia Parra</t>
        </is>
      </c>
      <c r="B72" s="17" t="inlineStr">
        <is>
          <t>March</t>
        </is>
      </c>
      <c r="C72" s="19" t="n">
        <v>31269</v>
      </c>
      <c r="D72" s="19" t="n">
        <v>11763.35</v>
      </c>
      <c r="E72" s="31" t="inlineStr">
        <is>
          <t>fail</t>
        </is>
      </c>
      <c r="F72" s="32" t="inlineStr">
        <is>
          <t>PASS</t>
        </is>
      </c>
      <c r="G72" s="31" t="inlineStr">
        <is>
          <t>fail</t>
        </is>
      </c>
      <c r="H72" s="19" t="n">
        <v>284.7370555555556</v>
      </c>
      <c r="I72" s="19" t="n">
        <v>127.19</v>
      </c>
      <c r="J72" s="19" t="n">
        <v>128.8</v>
      </c>
    </row>
    <row r="73">
      <c r="A73" s="17" t="inlineStr">
        <is>
          <t>Flavia Parra</t>
        </is>
      </c>
      <c r="B73" s="17" t="inlineStr">
        <is>
          <t>April</t>
        </is>
      </c>
      <c r="C73" s="19" t="n">
        <v>29581.05</v>
      </c>
      <c r="D73" s="19" t="n">
        <v>16301.38</v>
      </c>
      <c r="E73" s="31" t="inlineStr">
        <is>
          <t>fail</t>
        </is>
      </c>
      <c r="F73" s="32" t="inlineStr">
        <is>
          <t>PASS</t>
        </is>
      </c>
      <c r="G73" s="31" t="inlineStr">
        <is>
          <t>fail</t>
        </is>
      </c>
      <c r="H73" s="19" t="n">
        <v>299.7793111111111</v>
      </c>
      <c r="I73" s="19" t="n">
        <v>154.445</v>
      </c>
      <c r="J73" s="19" t="n">
        <v>156.4</v>
      </c>
    </row>
    <row r="74">
      <c r="A74" s="17" t="inlineStr">
        <is>
          <t>Thalia Rojas</t>
        </is>
      </c>
      <c r="B74" s="17" t="inlineStr">
        <is>
          <t>January</t>
        </is>
      </c>
      <c r="C74" s="19" t="n">
        <v>15503.9</v>
      </c>
      <c r="D74" s="19" t="n">
        <v>20231.965</v>
      </c>
      <c r="E74" s="31" t="inlineStr">
        <is>
          <t>fail</t>
        </is>
      </c>
      <c r="F74" s="32" t="inlineStr">
        <is>
          <t>PASS</t>
        </is>
      </c>
      <c r="G74" s="31" t="inlineStr">
        <is>
          <t>fail</t>
        </is>
      </c>
      <c r="H74" s="19" t="n">
        <v>297</v>
      </c>
      <c r="I74" s="19" t="n">
        <v>156.42</v>
      </c>
      <c r="J74" s="19" t="n">
        <v>158.4</v>
      </c>
    </row>
    <row r="75">
      <c r="A75" s="17" t="inlineStr">
        <is>
          <t>Thalia Rojas</t>
        </is>
      </c>
      <c r="B75" s="17" t="inlineStr">
        <is>
          <t>February</t>
        </is>
      </c>
      <c r="C75" s="19" t="n">
        <v>19414.25</v>
      </c>
      <c r="D75" s="19" t="n">
        <v>21595.08</v>
      </c>
      <c r="E75" s="31" t="inlineStr">
        <is>
          <t>fail</t>
        </is>
      </c>
      <c r="F75" s="32" t="inlineStr">
        <is>
          <t>PASS</t>
        </is>
      </c>
      <c r="G75" s="31" t="inlineStr">
        <is>
          <t>fail</t>
        </is>
      </c>
      <c r="H75" s="19" t="n">
        <v>339.6612</v>
      </c>
      <c r="I75" s="19" t="n">
        <v>154.445</v>
      </c>
      <c r="J75" s="19" t="n">
        <v>156.4</v>
      </c>
    </row>
    <row r="76">
      <c r="A76" s="17" t="inlineStr">
        <is>
          <t>Thalia Rojas</t>
        </is>
      </c>
      <c r="B76" s="17" t="inlineStr">
        <is>
          <t>March</t>
        </is>
      </c>
      <c r="C76" s="19" t="n">
        <v>17843.69</v>
      </c>
      <c r="D76" s="19" t="n">
        <v>15564.325</v>
      </c>
      <c r="E76" s="31" t="inlineStr">
        <is>
          <t>fail</t>
        </is>
      </c>
      <c r="F76" s="32" t="inlineStr">
        <is>
          <t>PASS</t>
        </is>
      </c>
      <c r="G76" s="31" t="inlineStr">
        <is>
          <t>fail</t>
        </is>
      </c>
      <c r="H76" s="19" t="n">
        <v>289</v>
      </c>
      <c r="I76" s="19" t="n">
        <v>139.04</v>
      </c>
      <c r="J76" s="19" t="n">
        <v>140.8</v>
      </c>
    </row>
    <row r="77">
      <c r="A77" s="17" t="inlineStr">
        <is>
          <t>Thalia Rojas</t>
        </is>
      </c>
      <c r="B77" s="17" t="inlineStr">
        <is>
          <t>April</t>
        </is>
      </c>
      <c r="C77" s="19" t="n">
        <v>14099</v>
      </c>
      <c r="D77" s="19" t="n">
        <v>23514.2</v>
      </c>
      <c r="E77" s="31" t="inlineStr">
        <is>
          <t>fail</t>
        </is>
      </c>
      <c r="F77" s="32" t="inlineStr">
        <is>
          <t>PASS</t>
        </is>
      </c>
      <c r="G77" s="31" t="inlineStr">
        <is>
          <t>fail</t>
        </is>
      </c>
      <c r="H77" s="19" t="n">
        <v>341.7935555555555</v>
      </c>
      <c r="I77" s="19" t="n">
        <v>154.445</v>
      </c>
      <c r="J77" s="19" t="n">
        <v>156.4</v>
      </c>
    </row>
    <row r="78">
      <c r="A78" s="17" t="inlineStr">
        <is>
          <t>Monica Valdes</t>
        </is>
      </c>
      <c r="B78" s="17" t="inlineStr">
        <is>
          <t>January</t>
        </is>
      </c>
      <c r="C78" s="19" t="n">
        <v>28605.29</v>
      </c>
      <c r="D78" s="19" t="n">
        <v>30809.39</v>
      </c>
      <c r="E78" s="31" t="inlineStr">
        <is>
          <t>fail</t>
        </is>
      </c>
      <c r="F78" s="32" t="inlineStr">
        <is>
          <t>PASS</t>
        </is>
      </c>
      <c r="G78" s="31" t="inlineStr">
        <is>
          <t>fail</t>
        </is>
      </c>
      <c r="H78" s="19" t="n">
        <v>369</v>
      </c>
      <c r="I78" s="19" t="n">
        <v>208.56</v>
      </c>
      <c r="J78" s="19" t="n">
        <v>211.2</v>
      </c>
    </row>
    <row r="79">
      <c r="A79" s="17" t="inlineStr">
        <is>
          <t>Monica Valdes</t>
        </is>
      </c>
      <c r="B79" s="17" t="inlineStr">
        <is>
          <t>February</t>
        </is>
      </c>
      <c r="C79" s="19" t="n">
        <v>31516.95</v>
      </c>
      <c r="D79" s="19" t="n">
        <v>26706.09</v>
      </c>
      <c r="E79" s="31" t="inlineStr">
        <is>
          <t>fail</t>
        </is>
      </c>
      <c r="F79" s="32" t="inlineStr">
        <is>
          <t>PASS</t>
        </is>
      </c>
      <c r="G79" s="31" t="inlineStr">
        <is>
          <t>fail</t>
        </is>
      </c>
      <c r="H79" s="19" t="n">
        <v>321</v>
      </c>
      <c r="I79" s="19" t="n">
        <v>126.4</v>
      </c>
      <c r="J79" s="19" t="n">
        <v>128</v>
      </c>
    </row>
    <row r="80">
      <c r="A80" s="17" t="inlineStr">
        <is>
          <t>Monica Valdes</t>
        </is>
      </c>
      <c r="B80" s="17" t="inlineStr">
        <is>
          <t>March</t>
        </is>
      </c>
      <c r="C80" s="19" t="n">
        <v>68546.22</v>
      </c>
      <c r="D80" s="19" t="n">
        <v>19627.325</v>
      </c>
      <c r="E80" s="32" t="inlineStr">
        <is>
          <t>PASS</t>
        </is>
      </c>
      <c r="F80" s="32" t="inlineStr">
        <is>
          <t>PASS</t>
        </is>
      </c>
      <c r="G80" s="32" t="inlineStr">
        <is>
          <t>PASS</t>
        </is>
      </c>
      <c r="H80" s="19" t="n">
        <v>711</v>
      </c>
      <c r="I80" s="19" t="n">
        <v>657.3600000000001</v>
      </c>
      <c r="J80" s="19" t="n">
        <v>442.8</v>
      </c>
    </row>
    <row r="81">
      <c r="A81" s="17" t="inlineStr">
        <is>
          <t>Monica Valdes</t>
        </is>
      </c>
      <c r="B81" s="17" t="inlineStr">
        <is>
          <t>April</t>
        </is>
      </c>
      <c r="C81" s="19" t="n">
        <v>29755.49</v>
      </c>
      <c r="D81" s="19" t="n">
        <v>20153.95</v>
      </c>
      <c r="E81" s="31" t="inlineStr">
        <is>
          <t>fail</t>
        </is>
      </c>
      <c r="F81" s="32" t="inlineStr">
        <is>
          <t>PASS</t>
        </is>
      </c>
      <c r="G81" s="31" t="inlineStr">
        <is>
          <t>fail</t>
        </is>
      </c>
      <c r="H81" s="19" t="n">
        <v>303</v>
      </c>
      <c r="I81" s="19" t="n">
        <v>112.97</v>
      </c>
      <c r="J81" s="19" t="n">
        <v>114.4</v>
      </c>
    </row>
    <row r="84">
      <c r="A84" s="5" t="inlineStr">
        <is>
          <t>WHAT IF WE LOWER THE THRESHOLD?</t>
        </is>
      </c>
    </row>
    <row r="85">
      <c r="A85" s="6" t="inlineStr">
        <is>
          <t>Threshold</t>
        </is>
      </c>
      <c r="B85" s="6" t="inlineStr">
        <is>
          <t>NB qual months (REAL)</t>
        </is>
      </c>
      <c r="C85" s="6" t="inlineStr">
        <is>
          <t>REN qual months (REAL)</t>
        </is>
      </c>
      <c r="D85" s="6" t="inlineStr">
        <is>
          <t>RWR qual months (REAL)</t>
        </is>
      </c>
      <c r="E85" s="6" t="inlineStr">
        <is>
          <t>NB qual months (SWAP)</t>
        </is>
      </c>
      <c r="F85" s="6" t="inlineStr">
        <is>
          <t>REN qual months (SWAP)</t>
        </is>
      </c>
      <c r="G85" s="6" t="inlineStr">
        <is>
          <t>RWR qual months (SWAP)</t>
        </is>
      </c>
      <c r="H85" s="6" t="inlineStr">
        <is>
          <t>Comment</t>
        </is>
      </c>
    </row>
    <row r="86" ht="30" customHeight="1">
      <c r="A86" s="29" t="inlineStr">
        <is>
          <t>$25,000</t>
        </is>
      </c>
      <c r="B86" s="29" t="inlineStr">
        <is>
          <t>17/24</t>
        </is>
      </c>
      <c r="C86" s="29" t="inlineStr">
        <is>
          <t>0/24</t>
        </is>
      </c>
      <c r="D86" s="29" t="inlineStr">
        <is>
          <t>0/24</t>
        </is>
      </c>
      <c r="E86" s="29" t="inlineStr">
        <is>
          <t>17/24</t>
        </is>
      </c>
      <c r="F86" s="29" t="inlineStr">
        <is>
          <t>9/24</t>
        </is>
      </c>
      <c r="G86" s="29" t="inlineStr">
        <is>
          <t>8/24</t>
        </is>
      </c>
      <c r="H86" s="29" t="inlineStr">
        <is>
          <t>Soft - most agents qualify on NB; REN still tight in REAL but loosens in SWAP.</t>
        </is>
      </c>
    </row>
    <row r="87" ht="30" customHeight="1">
      <c r="A87" s="17" t="inlineStr">
        <is>
          <t>$35,000</t>
        </is>
      </c>
      <c r="B87" s="17" t="inlineStr">
        <is>
          <t>9/24</t>
        </is>
      </c>
      <c r="C87" s="17" t="inlineStr">
        <is>
          <t>0/24</t>
        </is>
      </c>
      <c r="D87" s="17" t="inlineStr">
        <is>
          <t>0/24</t>
        </is>
      </c>
      <c r="E87" s="17" t="inlineStr">
        <is>
          <t>9/24</t>
        </is>
      </c>
      <c r="F87" s="17" t="inlineStr">
        <is>
          <t>4/24</t>
        </is>
      </c>
      <c r="G87" s="17" t="inlineStr">
        <is>
          <t>3/24</t>
        </is>
      </c>
      <c r="H87" s="17" t="inlineStr">
        <is>
          <t>Roughly matches the old 35-policy bar. Achievable today on NB, REN remains the stretch.</t>
        </is>
      </c>
    </row>
    <row r="88" ht="30" customHeight="1">
      <c r="A88" s="12" t="inlineStr">
        <is>
          <t>$50,000 (proposed)</t>
        </is>
      </c>
      <c r="B88" s="12" t="inlineStr">
        <is>
          <t>2/24</t>
        </is>
      </c>
      <c r="C88" s="12" t="inlineStr">
        <is>
          <t>0/24</t>
        </is>
      </c>
      <c r="D88" s="12" t="inlineStr">
        <is>
          <t>0/24</t>
        </is>
      </c>
      <c r="E88" s="12" t="inlineStr">
        <is>
          <t>2/24</t>
        </is>
      </c>
      <c r="F88" s="12" t="inlineStr">
        <is>
          <t>3/24</t>
        </is>
      </c>
      <c r="G88" s="12" t="inlineStr">
        <is>
          <t>1/24</t>
        </is>
      </c>
      <c r="H88" s="12" t="inlineStr">
        <is>
          <t>Proposed. NB gate clears for top performers; REN gate forces book-building.</t>
        </is>
      </c>
    </row>
    <row r="89" ht="30" customHeight="1">
      <c r="A89" s="17" t="inlineStr">
        <is>
          <t>$75,000</t>
        </is>
      </c>
      <c r="B89" s="17" t="inlineStr">
        <is>
          <t>0/24</t>
        </is>
      </c>
      <c r="C89" s="17" t="inlineStr">
        <is>
          <t>0/24</t>
        </is>
      </c>
      <c r="D89" s="17" t="inlineStr">
        <is>
          <t>0/24</t>
        </is>
      </c>
      <c r="E89" s="17" t="inlineStr">
        <is>
          <t>0/24</t>
        </is>
      </c>
      <c r="F89" s="17" t="inlineStr">
        <is>
          <t>0/24</t>
        </is>
      </c>
      <c r="G89" s="17" t="inlineStr">
        <is>
          <t>0/24</t>
        </is>
      </c>
      <c r="H89" s="17" t="inlineStr">
        <is>
          <t>Very tight. Only one or two months qualify even in SWAP. Use only for tenured agents.</t>
        </is>
      </c>
    </row>
  </sheetData>
  <mergeCells count="9">
    <mergeCell ref="A1:J1"/>
    <mergeCell ref="A5:J5"/>
    <mergeCell ref="A84:J84"/>
    <mergeCell ref="A22:J22"/>
    <mergeCell ref="A2:J2"/>
    <mergeCell ref="A56:J56"/>
    <mergeCell ref="A4:J4"/>
    <mergeCell ref="A16:J16"/>
    <mergeCell ref="A28:J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6" customWidth="1" min="5" max="5"/>
    <col width="28" customWidth="1" min="6" max="6"/>
    <col width="16" customWidth="1" min="7" max="7"/>
  </cols>
  <sheetData>
    <row r="1">
      <c r="A1" s="1" t="inlineStr">
        <is>
          <t>Why does Current bonus DROP when RWR converts to REN?</t>
        </is>
      </c>
    </row>
    <row r="2">
      <c r="A2" s="26" t="inlineStr">
        <is>
          <t>Short answer: the CURRENT plan does NOT pay anything for renewals. It only counts NB + RWR toward the 35-policy tier. So when RWRs move to RENs, the count drops, the tier drops, the bonus drops. Renewals paying 'more' than rewrites is true in the NEW plans - in the current plan renewals pay $0.</t>
        </is>
      </c>
    </row>
    <row r="4">
      <c r="A4" s="5" t="inlineStr">
        <is>
          <t>THE CURRENT PLAN AND HOW IT BREAKS UNDER THE SWAP</t>
        </is>
      </c>
    </row>
    <row r="5" ht="28" customHeight="1">
      <c r="A5" s="33" t="inlineStr">
        <is>
          <t>Current rule: count NB + RWR. Below 30 = $0. 30-34 = $250. 35-49 = $350. 50+ = $450 + $10 per policy above 50.</t>
        </is>
      </c>
    </row>
    <row r="6" ht="28" customHeight="1">
      <c r="A6" s="33" t="inlineStr">
        <is>
          <t>Renewals (REN) are NOT counted. They pay $0 regardless of how many you keep.</t>
        </is>
      </c>
    </row>
    <row r="7" ht="28" customHeight="1">
      <c r="A7" s="33" t="inlineStr">
        <is>
          <t>If we shift 50% of RWR -&gt; REN, the NB+RWR count drops. The tier drops. The bonus drops.</t>
        </is>
      </c>
    </row>
    <row r="8" ht="28" customHeight="1">
      <c r="A8" s="33" t="inlineStr">
        <is>
          <t>Even though the agent has MORE renewals (a good outcome), the plan does not reward it.</t>
        </is>
      </c>
    </row>
    <row r="9" ht="28" customHeight="1">
      <c r="A9" s="33" t="inlineStr">
        <is>
          <t>That is the broken incentive: today the agency pays MORE for churning the book than for retaining it.</t>
        </is>
      </c>
    </row>
    <row r="11">
      <c r="A11" s="5" t="inlineStr">
        <is>
          <t>CONCRETE EXAMPLE - Dialinerys Dieguez, March 2026</t>
        </is>
      </c>
    </row>
    <row r="12">
      <c r="A12" s="6" t="inlineStr">
        <is>
          <t>Scenario</t>
        </is>
      </c>
      <c r="B12" s="6" t="inlineStr">
        <is>
          <t>NB</t>
        </is>
      </c>
      <c r="C12" s="6" t="inlineStr">
        <is>
          <t>RWR</t>
        </is>
      </c>
      <c r="D12" s="6" t="inlineStr">
        <is>
          <t>REN</t>
        </is>
      </c>
      <c r="E12" s="6" t="inlineStr">
        <is>
          <t>NB+RWR count</t>
        </is>
      </c>
      <c r="F12" s="6" t="inlineStr">
        <is>
          <t>Current tier rule</t>
        </is>
      </c>
      <c r="G12" s="6" t="inlineStr">
        <is>
          <t>Current PAYS</t>
        </is>
      </c>
    </row>
    <row r="13">
      <c r="A13" s="17" t="inlineStr">
        <is>
          <t>REAL (today)</t>
        </is>
      </c>
      <c r="B13" s="17" t="n">
        <v>38</v>
      </c>
      <c r="C13" s="17" t="n">
        <v>69</v>
      </c>
      <c r="D13" s="17" t="n">
        <v>7</v>
      </c>
      <c r="E13" s="17" t="n">
        <v>107</v>
      </c>
      <c r="F13" s="17" t="inlineStr">
        <is>
          <t>107 policies -&gt; $1020+ tier</t>
        </is>
      </c>
      <c r="G13" s="17" t="inlineStr">
        <is>
          <t>$1020</t>
        </is>
      </c>
    </row>
    <row r="14">
      <c r="A14" s="29" t="inlineStr">
        <is>
          <t>SWAP (50% RWR -&gt; REN)</t>
        </is>
      </c>
      <c r="B14" s="29" t="n">
        <v>38</v>
      </c>
      <c r="C14" s="29" t="n">
        <v>35</v>
      </c>
      <c r="D14" s="29" t="n">
        <v>41</v>
      </c>
      <c r="E14" s="29" t="n">
        <v>73</v>
      </c>
      <c r="F14" s="29" t="inlineStr">
        <is>
          <t>73 policies -&gt; $680+ tier</t>
        </is>
      </c>
      <c r="G14" s="29" t="inlineStr">
        <is>
          <t>$680</t>
        </is>
      </c>
    </row>
    <row r="15">
      <c r="A15" s="34" t="inlineStr">
        <is>
          <t>DELTA</t>
        </is>
      </c>
      <c r="B15" s="34" t="inlineStr"/>
      <c r="C15" s="34" t="inlineStr">
        <is>
          <t>-34</t>
        </is>
      </c>
      <c r="D15" s="34" t="inlineStr">
        <is>
          <t>+34</t>
        </is>
      </c>
      <c r="E15" s="34" t="inlineStr">
        <is>
          <t>-34</t>
        </is>
      </c>
      <c r="F15" s="34" t="inlineStr">
        <is>
          <t>Lower tier</t>
        </is>
      </c>
      <c r="G15" s="34" t="inlineStr">
        <is>
          <t>-$340</t>
        </is>
      </c>
    </row>
    <row r="17">
      <c r="A17" s="5" t="inlineStr">
        <is>
          <t>SAME EXAMPLE UNDER PROPOSAL B - the renewal NOW pays</t>
        </is>
      </c>
    </row>
    <row r="18">
      <c r="A18" s="6" t="inlineStr">
        <is>
          <t>Scenario</t>
        </is>
      </c>
      <c r="B18" s="6" t="inlineStr">
        <is>
          <t>NB target</t>
        </is>
      </c>
      <c r="C18" s="6" t="inlineStr">
        <is>
          <t>RWR target</t>
        </is>
      </c>
      <c r="D18" s="6" t="inlineStr">
        <is>
          <t>REN target</t>
        </is>
      </c>
      <c r="E18" s="6" t="inlineStr">
        <is>
          <t>Total target</t>
        </is>
      </c>
      <c r="F18" s="6" t="inlineStr">
        <is>
          <t>WITH MIN paid</t>
        </is>
      </c>
    </row>
    <row r="19">
      <c r="A19" s="17" t="inlineStr">
        <is>
          <t>REAL (today)</t>
        </is>
      </c>
      <c r="B19" s="17" t="inlineStr">
        <is>
          <t>$548</t>
        </is>
      </c>
      <c r="C19" s="17" t="inlineStr">
        <is>
          <t>$152</t>
        </is>
      </c>
      <c r="D19" s="17" t="inlineStr">
        <is>
          <t>$66</t>
        </is>
      </c>
      <c r="E19" s="17" t="inlineStr">
        <is>
          <t>$766</t>
        </is>
      </c>
      <c r="F19" s="17" t="inlineStr">
        <is>
          <t>$766</t>
        </is>
      </c>
    </row>
    <row r="20">
      <c r="A20" s="29" t="inlineStr">
        <is>
          <t>SWAP (50% RWR -&gt; REN)</t>
        </is>
      </c>
      <c r="B20" s="29" t="inlineStr">
        <is>
          <t>$548</t>
        </is>
      </c>
      <c r="C20" s="29" t="inlineStr">
        <is>
          <t>$77</t>
        </is>
      </c>
      <c r="D20" s="29" t="inlineStr">
        <is>
          <t>$356</t>
        </is>
      </c>
      <c r="E20" s="29" t="inlineStr">
        <is>
          <t>$981</t>
        </is>
      </c>
      <c r="F20" s="29" t="inlineStr">
        <is>
          <t>$981</t>
        </is>
      </c>
    </row>
    <row r="21">
      <c r="A21" s="32" t="inlineStr">
        <is>
          <t>DELTA</t>
        </is>
      </c>
      <c r="B21" s="32" t="inlineStr"/>
      <c r="C21" s="32" t="inlineStr">
        <is>
          <t>-$75</t>
        </is>
      </c>
      <c r="D21" s="32" t="inlineStr">
        <is>
          <t>+$290</t>
        </is>
      </c>
      <c r="E21" s="32" t="inlineStr">
        <is>
          <t>+$215</t>
        </is>
      </c>
      <c r="F21" s="32" t="inlineStr">
        <is>
          <t>+$215</t>
        </is>
      </c>
    </row>
    <row r="23">
      <c r="A23" s="5" t="inlineStr">
        <is>
          <t>THE BIG PICTURE</t>
        </is>
      </c>
    </row>
    <row r="24" ht="30" customHeight="1">
      <c r="A24" s="33" t="inlineStr">
        <is>
          <t>Under the CURRENT plan, the agency literally pays LESS when the agent does the right thing (retain instead of rewrite).</t>
        </is>
      </c>
    </row>
    <row r="25" ht="30" customHeight="1">
      <c r="A25" s="33" t="inlineStr">
        <is>
          <t>Under both new plans, the agent gets MORE for the same behavior change - because REN now pays $4-$6 per policy plus the kicker plus the bundle (Plan B).</t>
        </is>
      </c>
    </row>
    <row r="26" ht="30" customHeight="1">
      <c r="A26" s="33" t="inlineStr">
        <is>
          <t>Per-policy comparison: RWR pays $2 in new plans; REN pays $4-$6. Net per swapped policy: +$2 to +$4 of bonus. Across hundreds of policies, that adds up.</t>
        </is>
      </c>
    </row>
    <row r="27" ht="30" customHeight="1">
      <c r="A27" s="33" t="inlineStr">
        <is>
          <t>Bottom line: the swap is not the cause of the drop. The current plan's design is. Switching plans fixes it.</t>
        </is>
      </c>
    </row>
  </sheetData>
  <mergeCells count="15">
    <mergeCell ref="A1:G1"/>
    <mergeCell ref="A17:G17"/>
    <mergeCell ref="A9:G9"/>
    <mergeCell ref="A27:G27"/>
    <mergeCell ref="A8:G8"/>
    <mergeCell ref="A6:G6"/>
    <mergeCell ref="A4:G4"/>
    <mergeCell ref="A26:G26"/>
    <mergeCell ref="A24:G24"/>
    <mergeCell ref="A2:G2"/>
    <mergeCell ref="A7:G7"/>
    <mergeCell ref="A25:G25"/>
    <mergeCell ref="A11:G11"/>
    <mergeCell ref="A5:G5"/>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45"/>
  <sheetViews>
    <sheetView workbookViewId="0">
      <selection activeCell="A1" sqref="A1"/>
    </sheetView>
  </sheetViews>
  <sheetFormatPr baseColWidth="8" defaultRowHeight="15"/>
  <cols>
    <col width="12" customWidth="1" min="1" max="1"/>
    <col width="13" customWidth="1" min="2" max="2"/>
    <col width="14" customWidth="1" min="3" max="3"/>
    <col width="14" customWidth="1" min="4" max="4"/>
    <col width="11" customWidth="1" min="5" max="5"/>
    <col width="13" customWidth="1" min="6" max="6"/>
    <col width="14" customWidth="1" min="7" max="7"/>
    <col width="14" customWidth="1" min="8" max="8"/>
    <col width="11" customWidth="1" min="9" max="9"/>
    <col width="13" customWidth="1" min="10" max="10"/>
    <col width="14" customWidth="1" min="11" max="11"/>
    <col width="14" customWidth="1" min="12" max="12"/>
    <col width="11" customWidth="1" min="13" max="13"/>
    <col width="13" customWidth="1" min="14" max="14"/>
    <col width="13" customWidth="1" min="15" max="15"/>
    <col width="15" customWidth="1" min="16" max="16"/>
    <col width="13" customWidth="1" min="17" max="17"/>
    <col width="13" customWidth="1" min="18" max="18"/>
  </cols>
  <sheetData>
    <row r="1">
      <c r="A1" s="1" t="inlineStr">
        <is>
          <t>Agent Examples - REAL Jan-Apr 2026 data</t>
        </is>
      </c>
    </row>
    <row r="2">
      <c r="A2" s="4" t="inlineStr">
        <is>
          <t>Actual NB/RWR/REN volumes from the source data, calculated for every proposal.</t>
        </is>
      </c>
    </row>
    <row r="4" ht="22" customHeight="1">
      <c r="A4" s="5" t="inlineStr">
        <is>
          <t>Abel Guaina</t>
        </is>
      </c>
    </row>
    <row r="5">
      <c r="A5" s="6" t="inlineStr">
        <is>
          <t>Month</t>
        </is>
      </c>
      <c r="B5" s="6" t="inlineStr">
        <is>
          <t>NB Count</t>
        </is>
      </c>
      <c r="C5" s="6" t="inlineStr">
        <is>
          <t>NB Premium</t>
        </is>
      </c>
      <c r="D5" s="6" t="inlineStr">
        <is>
          <t>NB Collected</t>
        </is>
      </c>
      <c r="E5" s="6" t="inlineStr">
        <is>
          <t>NB Coll %</t>
        </is>
      </c>
      <c r="F5" s="6" t="inlineStr">
        <is>
          <t>RWR Count</t>
        </is>
      </c>
      <c r="G5" s="6" t="inlineStr">
        <is>
          <t>RWR Premium</t>
        </is>
      </c>
      <c r="H5" s="6" t="inlineStr">
        <is>
          <t>RWR Collected</t>
        </is>
      </c>
      <c r="I5" s="6" t="inlineStr">
        <is>
          <t>RWR Coll %</t>
        </is>
      </c>
      <c r="J5" s="6" t="inlineStr">
        <is>
          <t>REN Count</t>
        </is>
      </c>
      <c r="K5" s="6" t="inlineStr">
        <is>
          <t>REN Premium</t>
        </is>
      </c>
      <c r="L5" s="6" t="inlineStr">
        <is>
          <t>REN Collected</t>
        </is>
      </c>
      <c r="M5" s="6" t="inlineStr">
        <is>
          <t>REN Coll %</t>
        </is>
      </c>
      <c r="N5" s="6" t="inlineStr">
        <is>
          <t>Avg NB Prem</t>
        </is>
      </c>
      <c r="O5" s="6" t="inlineStr">
        <is>
          <t>Avg REN Prem</t>
        </is>
      </c>
      <c r="P5" s="6" t="inlineStr">
        <is>
          <t>Total Collected</t>
        </is>
      </c>
      <c r="Q5" s="6" t="inlineStr">
        <is>
          <t>Safe Net</t>
        </is>
      </c>
      <c r="R5" s="6" t="inlineStr">
        <is>
          <t>Cap</t>
        </is>
      </c>
    </row>
    <row r="6">
      <c r="A6" s="17" t="inlineStr">
        <is>
          <t>January</t>
        </is>
      </c>
      <c r="B6" s="18" t="n">
        <v>25</v>
      </c>
      <c r="C6" s="19" t="n">
        <v>38611.42</v>
      </c>
      <c r="D6" s="19" t="n">
        <v>4938.26</v>
      </c>
      <c r="E6" s="35" t="n">
        <v>0.1278963581240991</v>
      </c>
      <c r="F6" s="18" t="n">
        <v>17</v>
      </c>
      <c r="G6" s="19" t="n">
        <v>27518.5</v>
      </c>
      <c r="H6" s="19" t="n">
        <v>6186.16</v>
      </c>
      <c r="I6" s="35" t="n">
        <v>0.224800043607028</v>
      </c>
      <c r="J6" s="18" t="n">
        <v>9</v>
      </c>
      <c r="K6" s="19" t="n">
        <v>7605</v>
      </c>
      <c r="L6" s="19" t="n">
        <v>1734.23</v>
      </c>
      <c r="M6" s="35" t="n">
        <v>0.2280381328073636</v>
      </c>
      <c r="N6" s="19" t="n">
        <v>1544.4568</v>
      </c>
      <c r="O6" s="19" t="n">
        <v>845</v>
      </c>
      <c r="P6" s="19" t="n">
        <v>12858.65</v>
      </c>
      <c r="Q6" s="19" t="n">
        <v>782.1916794999999</v>
      </c>
      <c r="R6" s="19" t="n">
        <v>312.8766717999999</v>
      </c>
    </row>
    <row r="7">
      <c r="A7" s="17" t="inlineStr">
        <is>
          <t>February</t>
        </is>
      </c>
      <c r="B7" s="18" t="n">
        <v>13</v>
      </c>
      <c r="C7" s="19" t="n">
        <v>25367</v>
      </c>
      <c r="D7" s="19" t="n">
        <v>3258.77</v>
      </c>
      <c r="E7" s="35" t="n">
        <v>0.1284649347577561</v>
      </c>
      <c r="F7" s="18" t="n">
        <v>19</v>
      </c>
      <c r="G7" s="19" t="n">
        <v>30643</v>
      </c>
      <c r="H7" s="19" t="n">
        <v>4268.29</v>
      </c>
      <c r="I7" s="35" t="n">
        <v>0.1392908657768495</v>
      </c>
      <c r="J7" s="18" t="n">
        <v>7</v>
      </c>
      <c r="K7" s="19" t="n">
        <v>7517</v>
      </c>
      <c r="L7" s="19" t="n">
        <v>1422.16</v>
      </c>
      <c r="M7" s="35" t="n">
        <v>0.1891924970067846</v>
      </c>
      <c r="N7" s="19" t="n">
        <v>1951.307692307692</v>
      </c>
      <c r="O7" s="19" t="n">
        <v>1073.857142857143</v>
      </c>
      <c r="P7" s="19" t="n">
        <v>8949.219999999999</v>
      </c>
      <c r="Q7" s="19" t="n">
        <v>544.3810526</v>
      </c>
      <c r="R7" s="19" t="n">
        <v>217.75242104</v>
      </c>
    </row>
    <row r="8">
      <c r="A8" s="17" t="inlineStr">
        <is>
          <t>March</t>
        </is>
      </c>
      <c r="B8" s="18" t="n">
        <v>30</v>
      </c>
      <c r="C8" s="19" t="n">
        <v>46523.37</v>
      </c>
      <c r="D8" s="19" t="n">
        <v>6523.33</v>
      </c>
      <c r="E8" s="35" t="n">
        <v>0.140216196720057</v>
      </c>
      <c r="F8" s="18" t="n">
        <v>17</v>
      </c>
      <c r="G8" s="19" t="n">
        <v>25227.6</v>
      </c>
      <c r="H8" s="19" t="n">
        <v>5844.85</v>
      </c>
      <c r="I8" s="35" t="n">
        <v>0.2316847421078502</v>
      </c>
      <c r="J8" s="18" t="n">
        <v>5</v>
      </c>
      <c r="K8" s="19" t="n">
        <v>3901</v>
      </c>
      <c r="L8" s="19" t="n">
        <v>1274.08</v>
      </c>
      <c r="M8" s="35" t="n">
        <v>0.3266034350166624</v>
      </c>
      <c r="N8" s="19" t="n">
        <v>1550.779</v>
      </c>
      <c r="O8" s="19" t="n">
        <v>780.2</v>
      </c>
      <c r="P8" s="19" t="n">
        <v>13642.26</v>
      </c>
      <c r="Q8" s="19" t="n">
        <v>829.8586758</v>
      </c>
      <c r="R8" s="19" t="n">
        <v>331.94347032</v>
      </c>
    </row>
    <row r="9">
      <c r="A9" s="17" t="inlineStr">
        <is>
          <t>April</t>
        </is>
      </c>
      <c r="B9" s="18" t="n">
        <v>27</v>
      </c>
      <c r="C9" s="19" t="n">
        <v>37825.93</v>
      </c>
      <c r="D9" s="19" t="n">
        <v>8163.72</v>
      </c>
      <c r="E9" s="35" t="n">
        <v>0.2158233783016042</v>
      </c>
      <c r="F9" s="18" t="n">
        <v>15</v>
      </c>
      <c r="G9" s="19" t="n">
        <v>15361.95</v>
      </c>
      <c r="H9" s="19" t="n">
        <v>3967.81</v>
      </c>
      <c r="I9" s="35" t="n">
        <v>0.2582881730509473</v>
      </c>
      <c r="J9" s="18" t="n">
        <v>13</v>
      </c>
      <c r="K9" s="19" t="n">
        <v>10935.99</v>
      </c>
      <c r="L9" s="19" t="n">
        <v>5439.19</v>
      </c>
      <c r="M9" s="35" t="n">
        <v>0.4973660363625058</v>
      </c>
      <c r="N9" s="19" t="n">
        <v>1400.96037037037</v>
      </c>
      <c r="O9" s="19" t="n">
        <v>841.23</v>
      </c>
      <c r="P9" s="19" t="n">
        <v>17570.72</v>
      </c>
      <c r="Q9" s="19" t="n">
        <v>1068.8268976</v>
      </c>
      <c r="R9" s="19" t="n">
        <v>427.53075904</v>
      </c>
    </row>
    <row r="11">
      <c r="A11" s="36" t="inlineStr">
        <is>
          <t>PROPOSAL A - PREMIUM-BASED</t>
        </is>
      </c>
    </row>
    <row r="12">
      <c r="A12" s="6" t="inlineStr">
        <is>
          <t>Month</t>
        </is>
      </c>
      <c r="B12" s="6" t="inlineStr">
        <is>
          <t>NB base</t>
        </is>
      </c>
      <c r="C12" s="6" t="inlineStr">
        <is>
          <t>NB col inc</t>
        </is>
      </c>
      <c r="D12" s="6" t="inlineStr">
        <is>
          <t>NB target</t>
        </is>
      </c>
      <c r="E12" s="6" t="inlineStr">
        <is>
          <t>REN base</t>
        </is>
      </c>
      <c r="F12" s="6" t="inlineStr">
        <is>
          <t>REN col inc</t>
        </is>
      </c>
      <c r="G12" s="6" t="inlineStr">
        <is>
          <t>REN target</t>
        </is>
      </c>
      <c r="H12" s="6" t="inlineStr">
        <is>
          <t>RWR target</t>
        </is>
      </c>
      <c r="I12" s="6" t="inlineStr">
        <is>
          <t>Retention</t>
        </is>
      </c>
      <c r="J12" s="6" t="inlineStr">
        <is>
          <t>Total target</t>
        </is>
      </c>
      <c r="K12" s="6" t="inlineStr">
        <is>
          <t>PAID after MIN</t>
        </is>
      </c>
      <c r="L12" s="6" t="inlineStr">
        <is>
          <t>Gates (NB/REN/RWR)</t>
        </is>
      </c>
      <c r="M12" s="6" t="inlineStr">
        <is>
          <t>Safe Net</t>
        </is>
      </c>
      <c r="N12" s="6" t="inlineStr">
        <is>
          <t>vs Current</t>
        </is>
      </c>
      <c r="O12" s="6" t="inlineStr">
        <is>
          <t>Current Bonus</t>
        </is>
      </c>
    </row>
    <row r="13">
      <c r="A13" s="12" t="inlineStr">
        <is>
          <t>January</t>
        </is>
      </c>
      <c r="B13" s="11" t="n">
        <v>175</v>
      </c>
      <c r="C13" s="11" t="n">
        <v>0</v>
      </c>
      <c r="D13" s="11" t="n">
        <v>175</v>
      </c>
      <c r="E13" s="11" t="n">
        <v>36</v>
      </c>
      <c r="F13" s="11" t="n">
        <v>0</v>
      </c>
      <c r="G13" s="11" t="n">
        <v>36</v>
      </c>
      <c r="H13" s="11" t="n">
        <v>51</v>
      </c>
      <c r="I13" s="11" t="n">
        <v>225</v>
      </c>
      <c r="J13" s="11" t="n">
        <v>487</v>
      </c>
      <c r="K13" s="20" t="n">
        <v>261</v>
      </c>
      <c r="L13" s="37" t="inlineStr">
        <is>
          <t>n/Y/n</t>
        </is>
      </c>
      <c r="M13" s="11" t="n">
        <v>782.1916794999999</v>
      </c>
      <c r="N13" s="11" t="n">
        <v>-89</v>
      </c>
      <c r="O13" s="11" t="n">
        <v>350</v>
      </c>
    </row>
    <row r="14">
      <c r="A14" s="12" t="inlineStr">
        <is>
          <t>February</t>
        </is>
      </c>
      <c r="B14" s="11" t="n">
        <v>130</v>
      </c>
      <c r="C14" s="11" t="n">
        <v>0</v>
      </c>
      <c r="D14" s="11" t="n">
        <v>130</v>
      </c>
      <c r="E14" s="11" t="n">
        <v>28</v>
      </c>
      <c r="F14" s="11" t="n">
        <v>0</v>
      </c>
      <c r="G14" s="11" t="n">
        <v>28</v>
      </c>
      <c r="H14" s="11" t="n">
        <v>57</v>
      </c>
      <c r="I14" s="11" t="n">
        <v>225</v>
      </c>
      <c r="J14" s="11" t="n">
        <v>440</v>
      </c>
      <c r="K14" s="20" t="n">
        <v>253</v>
      </c>
      <c r="L14" s="37" t="inlineStr">
        <is>
          <t>n/Y/n</t>
        </is>
      </c>
      <c r="M14" s="11" t="n">
        <v>544.3810526</v>
      </c>
      <c r="N14" s="11" t="n">
        <v>3</v>
      </c>
      <c r="O14" s="11" t="n">
        <v>250</v>
      </c>
    </row>
    <row r="15">
      <c r="A15" s="12" t="inlineStr">
        <is>
          <t>March</t>
        </is>
      </c>
      <c r="B15" s="11" t="n">
        <v>210</v>
      </c>
      <c r="C15" s="11" t="n">
        <v>0</v>
      </c>
      <c r="D15" s="11" t="n">
        <v>210</v>
      </c>
      <c r="E15" s="11" t="n">
        <v>20</v>
      </c>
      <c r="F15" s="11" t="n">
        <v>1.001111111111111</v>
      </c>
      <c r="G15" s="11" t="n">
        <v>21.00111111111111</v>
      </c>
      <c r="H15" s="11" t="n">
        <v>51</v>
      </c>
      <c r="I15" s="11" t="n">
        <v>225</v>
      </c>
      <c r="J15" s="11" t="n">
        <v>507.0011111111111</v>
      </c>
      <c r="K15" s="20" t="n">
        <v>507.0011111111111</v>
      </c>
      <c r="L15" s="27" t="inlineStr">
        <is>
          <t>Y/Y/Y</t>
        </is>
      </c>
      <c r="M15" s="11" t="n">
        <v>829.8586758</v>
      </c>
      <c r="N15" s="11" t="n">
        <v>157.0011111111111</v>
      </c>
      <c r="O15" s="11" t="n">
        <v>350</v>
      </c>
    </row>
    <row r="16">
      <c r="A16" s="12" t="inlineStr">
        <is>
          <t>April</t>
        </is>
      </c>
      <c r="B16" s="11" t="n">
        <v>189</v>
      </c>
      <c r="C16" s="11" t="n">
        <v>0</v>
      </c>
      <c r="D16" s="11" t="n">
        <v>189</v>
      </c>
      <c r="E16" s="11" t="n">
        <v>52</v>
      </c>
      <c r="F16" s="11" t="n">
        <v>3.484433333333333</v>
      </c>
      <c r="G16" s="11" t="n">
        <v>55.48443333333334</v>
      </c>
      <c r="H16" s="11" t="n">
        <v>37.06883333333334</v>
      </c>
      <c r="I16" s="11" t="n">
        <v>225</v>
      </c>
      <c r="J16" s="11" t="n">
        <v>506.5532666666667</v>
      </c>
      <c r="K16" s="20" t="n">
        <v>280.4844333333334</v>
      </c>
      <c r="L16" s="37" t="inlineStr">
        <is>
          <t>n/Y/n</t>
        </is>
      </c>
      <c r="M16" s="11" t="n">
        <v>1068.8268976</v>
      </c>
      <c r="N16" s="11" t="n">
        <v>-69.51556666666664</v>
      </c>
      <c r="O16" s="11" t="n">
        <v>350</v>
      </c>
    </row>
    <row r="17">
      <c r="A17" s="22" t="inlineStr">
        <is>
          <t>4-Month Total</t>
        </is>
      </c>
      <c r="B17" s="38" t="n"/>
      <c r="C17" s="38" t="n"/>
      <c r="D17" s="38" t="n"/>
      <c r="E17" s="38" t="n"/>
      <c r="F17" s="38" t="n"/>
      <c r="G17" s="38" t="n"/>
      <c r="H17" s="38" t="n"/>
      <c r="I17" s="23" t="n">
        <v>1940.554377777778</v>
      </c>
      <c r="J17" s="23" t="n">
        <v>1301.485544444444</v>
      </c>
      <c r="K17" s="38" t="n"/>
      <c r="L17" s="38" t="n"/>
      <c r="M17" s="38" t="n"/>
      <c r="N17" s="23" t="n">
        <v>1.485544444444486</v>
      </c>
      <c r="O17" s="23" t="n">
        <v>1300</v>
      </c>
    </row>
    <row r="19">
      <c r="A19" s="39" t="inlineStr">
        <is>
          <t>PROPOSAL B - COVERAGE-BASED</t>
        </is>
      </c>
    </row>
    <row r="20">
      <c r="A20" s="6" t="inlineStr">
        <is>
          <t>Month</t>
        </is>
      </c>
      <c r="B20" s="6" t="inlineStr">
        <is>
          <t>NB Base ($10 x ct)</t>
        </is>
      </c>
      <c r="C20" s="6" t="inlineStr">
        <is>
          <t>NB Liab Add ($5 x 35%)</t>
        </is>
      </c>
      <c r="D20" s="6" t="inlineStr">
        <is>
          <t>NB Target (w/ kicker)</t>
        </is>
      </c>
      <c r="E20" s="6" t="inlineStr">
        <is>
          <t>REN Base ($6 x ct)</t>
        </is>
      </c>
      <c r="F20" s="6" t="inlineStr">
        <is>
          <t>REN Liab Add ($3 x 30%)</t>
        </is>
      </c>
      <c r="G20" s="6" t="inlineStr">
        <is>
          <t>REN Target (w/ kicker)</t>
        </is>
      </c>
      <c r="H20" s="6" t="inlineStr">
        <is>
          <t>RWR Target (w/ kicker)</t>
        </is>
      </c>
      <c r="I20" s="6" t="inlineStr">
        <is>
          <t>Total Target (no min)</t>
        </is>
      </c>
      <c r="J20" s="6" t="inlineStr">
        <is>
          <t>PAID after MIN</t>
        </is>
      </c>
      <c r="K20" s="6" t="inlineStr">
        <is>
          <t>Gates (NB/REN/RWR)</t>
        </is>
      </c>
      <c r="L20" s="6" t="inlineStr">
        <is>
          <t>Safe Net</t>
        </is>
      </c>
      <c r="M20" s="6" t="inlineStr">
        <is>
          <t>Bonus % SN</t>
        </is>
      </c>
      <c r="N20" s="6" t="inlineStr">
        <is>
          <t>vs Current</t>
        </is>
      </c>
      <c r="O20" s="6" t="inlineStr">
        <is>
          <t>Current Bonus</t>
        </is>
      </c>
    </row>
    <row r="21">
      <c r="A21" s="15" t="inlineStr">
        <is>
          <t>January</t>
        </is>
      </c>
      <c r="B21" s="14" t="n">
        <v>275</v>
      </c>
      <c r="C21" s="14" t="n">
        <v>52.5</v>
      </c>
      <c r="D21" s="14" t="n">
        <v>327.5</v>
      </c>
      <c r="E21" s="14" t="n">
        <v>63</v>
      </c>
      <c r="F21" s="14" t="n">
        <v>8.1</v>
      </c>
      <c r="G21" s="14" t="n">
        <v>78.20999999999999</v>
      </c>
      <c r="H21" s="14" t="n">
        <v>37.40000000000001</v>
      </c>
      <c r="I21" s="14" t="n">
        <v>443.11</v>
      </c>
      <c r="J21" s="21" t="n">
        <v>78.20999999999999</v>
      </c>
      <c r="K21" s="37" t="inlineStr">
        <is>
          <t>n/Y/n</t>
        </is>
      </c>
      <c r="L21" s="14" t="n">
        <v>782.1916794999999</v>
      </c>
      <c r="M21" s="40" t="n">
        <v>0.5664979718056437</v>
      </c>
      <c r="N21" s="14" t="n">
        <v>-271.79</v>
      </c>
      <c r="O21" s="14" t="n">
        <v>350</v>
      </c>
    </row>
    <row r="22">
      <c r="A22" s="15" t="inlineStr">
        <is>
          <t>February</t>
        </is>
      </c>
      <c r="B22" s="14" t="n">
        <v>143</v>
      </c>
      <c r="C22" s="14" t="n">
        <v>27.3</v>
      </c>
      <c r="D22" s="14" t="n">
        <v>170.3</v>
      </c>
      <c r="E22" s="14" t="n">
        <v>49</v>
      </c>
      <c r="F22" s="14" t="n">
        <v>6.300000000000001</v>
      </c>
      <c r="G22" s="14" t="n">
        <v>60.83</v>
      </c>
      <c r="H22" s="14" t="n">
        <v>38</v>
      </c>
      <c r="I22" s="14" t="n">
        <v>269.13</v>
      </c>
      <c r="J22" s="21" t="n">
        <v>60.83</v>
      </c>
      <c r="K22" s="37" t="inlineStr">
        <is>
          <t>n/Y/n</t>
        </is>
      </c>
      <c r="L22" s="14" t="n">
        <v>544.3810526</v>
      </c>
      <c r="M22" s="40" t="n">
        <v>0.4943779705678904</v>
      </c>
      <c r="N22" s="14" t="n">
        <v>-189.17</v>
      </c>
      <c r="O22" s="14" t="n">
        <v>250</v>
      </c>
    </row>
    <row r="23">
      <c r="A23" s="15" t="inlineStr">
        <is>
          <t>March</t>
        </is>
      </c>
      <c r="B23" s="14" t="n">
        <v>330</v>
      </c>
      <c r="C23" s="14" t="n">
        <v>63</v>
      </c>
      <c r="D23" s="14" t="n">
        <v>393</v>
      </c>
      <c r="E23" s="14" t="n">
        <v>35</v>
      </c>
      <c r="F23" s="14" t="n">
        <v>4.5</v>
      </c>
      <c r="G23" s="14" t="n">
        <v>45.425</v>
      </c>
      <c r="H23" s="14" t="n">
        <v>37.40000000000001</v>
      </c>
      <c r="I23" s="14" t="n">
        <v>475.825</v>
      </c>
      <c r="J23" s="21" t="n">
        <v>475.825</v>
      </c>
      <c r="K23" s="27" t="inlineStr">
        <is>
          <t>Y/Y/Y</t>
        </is>
      </c>
      <c r="L23" s="14" t="n">
        <v>829.8586758</v>
      </c>
      <c r="M23" s="40" t="n">
        <v>0.5733807621415724</v>
      </c>
      <c r="N23" s="14" t="n">
        <v>125.825</v>
      </c>
      <c r="O23" s="14" t="n">
        <v>350</v>
      </c>
    </row>
    <row r="24">
      <c r="A24" s="15" t="inlineStr">
        <is>
          <t>April</t>
        </is>
      </c>
      <c r="B24" s="14" t="n">
        <v>297</v>
      </c>
      <c r="C24" s="14" t="n">
        <v>56.7</v>
      </c>
      <c r="D24" s="14" t="n">
        <v>389.07</v>
      </c>
      <c r="E24" s="14" t="n">
        <v>91</v>
      </c>
      <c r="F24" s="14" t="n">
        <v>11.7</v>
      </c>
      <c r="G24" s="14" t="n">
        <v>118.105</v>
      </c>
      <c r="H24" s="14" t="n">
        <v>34.5</v>
      </c>
      <c r="I24" s="14" t="n">
        <v>541.675</v>
      </c>
      <c r="J24" s="21" t="n">
        <v>118.105</v>
      </c>
      <c r="K24" s="37" t="inlineStr">
        <is>
          <t>n/Y/n</t>
        </is>
      </c>
      <c r="L24" s="14" t="n">
        <v>1068.8268976</v>
      </c>
      <c r="M24" s="40" t="n">
        <v>0.5067939450404041</v>
      </c>
      <c r="N24" s="14" t="n">
        <v>-231.895</v>
      </c>
      <c r="O24" s="14" t="n">
        <v>350</v>
      </c>
    </row>
    <row r="25">
      <c r="A25" s="22" t="inlineStr">
        <is>
          <t>4-Month Total</t>
        </is>
      </c>
      <c r="B25" s="38" t="n"/>
      <c r="C25" s="38" t="n"/>
      <c r="D25" s="38" t="n"/>
      <c r="E25" s="38" t="n"/>
      <c r="F25" s="38" t="n"/>
      <c r="G25" s="38" t="n"/>
      <c r="H25" s="38" t="n"/>
      <c r="I25" s="23" t="n">
        <v>1729.74</v>
      </c>
      <c r="J25" s="23" t="n">
        <v>732.97</v>
      </c>
      <c r="K25" s="38" t="n"/>
      <c r="L25" s="38" t="n"/>
      <c r="M25" s="38" t="n"/>
      <c r="N25" s="23" t="n">
        <v>-567.03</v>
      </c>
      <c r="O25" s="23" t="n">
        <v>1300</v>
      </c>
    </row>
    <row r="28" ht="22" customHeight="1">
      <c r="A28" s="5" t="inlineStr">
        <is>
          <t>Dialinerys Dieguez</t>
        </is>
      </c>
    </row>
    <row r="29">
      <c r="A29" s="6" t="inlineStr">
        <is>
          <t>Month</t>
        </is>
      </c>
      <c r="B29" s="6" t="inlineStr">
        <is>
          <t>NB Count</t>
        </is>
      </c>
      <c r="C29" s="6" t="inlineStr">
        <is>
          <t>NB Premium</t>
        </is>
      </c>
      <c r="D29" s="6" t="inlineStr">
        <is>
          <t>NB Collected</t>
        </is>
      </c>
      <c r="E29" s="6" t="inlineStr">
        <is>
          <t>NB Coll %</t>
        </is>
      </c>
      <c r="F29" s="6" t="inlineStr">
        <is>
          <t>RWR Count</t>
        </is>
      </c>
      <c r="G29" s="6" t="inlineStr">
        <is>
          <t>RWR Premium</t>
        </is>
      </c>
      <c r="H29" s="6" t="inlineStr">
        <is>
          <t>RWR Collected</t>
        </is>
      </c>
      <c r="I29" s="6" t="inlineStr">
        <is>
          <t>RWR Coll %</t>
        </is>
      </c>
      <c r="J29" s="6" t="inlineStr">
        <is>
          <t>REN Count</t>
        </is>
      </c>
      <c r="K29" s="6" t="inlineStr">
        <is>
          <t>REN Premium</t>
        </is>
      </c>
      <c r="L29" s="6" t="inlineStr">
        <is>
          <t>REN Collected</t>
        </is>
      </c>
      <c r="M29" s="6" t="inlineStr">
        <is>
          <t>REN Coll %</t>
        </is>
      </c>
      <c r="N29" s="6" t="inlineStr">
        <is>
          <t>Avg NB Prem</t>
        </is>
      </c>
      <c r="O29" s="6" t="inlineStr">
        <is>
          <t>Avg REN Prem</t>
        </is>
      </c>
      <c r="P29" s="6" t="inlineStr">
        <is>
          <t>Total Collected</t>
        </is>
      </c>
      <c r="Q29" s="6" t="inlineStr">
        <is>
          <t>Safe Net</t>
        </is>
      </c>
      <c r="R29" s="6" t="inlineStr">
        <is>
          <t>Cap</t>
        </is>
      </c>
    </row>
    <row r="30">
      <c r="A30" s="17" t="inlineStr">
        <is>
          <t>January</t>
        </is>
      </c>
      <c r="B30" s="18" t="n">
        <v>23</v>
      </c>
      <c r="C30" s="19" t="n">
        <v>40249.26</v>
      </c>
      <c r="D30" s="19" t="n">
        <v>4925</v>
      </c>
      <c r="E30" s="35" t="n">
        <v>0.1223624980931326</v>
      </c>
      <c r="F30" s="18" t="n">
        <v>48</v>
      </c>
      <c r="G30" s="19" t="n">
        <v>65675.38</v>
      </c>
      <c r="H30" s="19" t="n">
        <v>10936.32</v>
      </c>
      <c r="I30" s="35" t="n">
        <v>0.1665208484518856</v>
      </c>
      <c r="J30" s="18" t="n">
        <v>11</v>
      </c>
      <c r="K30" s="19" t="n">
        <v>12530.47</v>
      </c>
      <c r="L30" s="19" t="n">
        <v>4951.59</v>
      </c>
      <c r="M30" s="35" t="n">
        <v>0.395163948359479</v>
      </c>
      <c r="N30" s="19" t="n">
        <v>1749.967826086957</v>
      </c>
      <c r="O30" s="19" t="n">
        <v>1139.133636363636</v>
      </c>
      <c r="P30" s="19" t="n">
        <v>20812.91</v>
      </c>
      <c r="Q30" s="19" t="n">
        <v>1266.0493153</v>
      </c>
      <c r="R30" s="19" t="n">
        <v>506.41972612</v>
      </c>
    </row>
    <row r="31">
      <c r="A31" s="17" t="inlineStr">
        <is>
          <t>February</t>
        </is>
      </c>
      <c r="B31" s="18" t="n">
        <v>23</v>
      </c>
      <c r="C31" s="19" t="n">
        <v>30057.89</v>
      </c>
      <c r="D31" s="19" t="n">
        <v>5766.72</v>
      </c>
      <c r="E31" s="35" t="n">
        <v>0.1918537861440041</v>
      </c>
      <c r="F31" s="18" t="n">
        <v>56</v>
      </c>
      <c r="G31" s="19" t="n">
        <v>85544.60000000001</v>
      </c>
      <c r="H31" s="19" t="n">
        <v>13931.43</v>
      </c>
      <c r="I31" s="35" t="n">
        <v>0.1628557500999478</v>
      </c>
      <c r="J31" s="18" t="n">
        <v>9</v>
      </c>
      <c r="K31" s="19" t="n">
        <v>11629.68</v>
      </c>
      <c r="L31" s="19" t="n">
        <v>1937.6</v>
      </c>
      <c r="M31" s="35" t="n">
        <v>0.1666081955823376</v>
      </c>
      <c r="N31" s="19" t="n">
        <v>1306.864782608696</v>
      </c>
      <c r="O31" s="19" t="n">
        <v>1292.186666666667</v>
      </c>
      <c r="P31" s="19" t="n">
        <v>21635.75</v>
      </c>
      <c r="Q31" s="19" t="n">
        <v>1316.1026725</v>
      </c>
      <c r="R31" s="19" t="n">
        <v>526.441069</v>
      </c>
    </row>
    <row r="32">
      <c r="A32" s="17" t="inlineStr">
        <is>
          <t>March</t>
        </is>
      </c>
      <c r="B32" s="18" t="n">
        <v>38</v>
      </c>
      <c r="C32" s="19" t="n">
        <v>52434.9</v>
      </c>
      <c r="D32" s="19" t="n">
        <v>10546.59</v>
      </c>
      <c r="E32" s="35" t="n">
        <v>0.2011368382508596</v>
      </c>
      <c r="F32" s="18" t="n">
        <v>69</v>
      </c>
      <c r="G32" s="19" t="n">
        <v>96228.35000000001</v>
      </c>
      <c r="H32" s="19" t="n">
        <v>19700.38</v>
      </c>
      <c r="I32" s="35" t="n">
        <v>0.2047253226310126</v>
      </c>
      <c r="J32" s="18" t="n">
        <v>7</v>
      </c>
      <c r="K32" s="19" t="n">
        <v>5962.5</v>
      </c>
      <c r="L32" s="19" t="n">
        <v>3080</v>
      </c>
      <c r="M32" s="35" t="n">
        <v>0.5165618448637317</v>
      </c>
      <c r="N32" s="19" t="n">
        <v>1379.865789473684</v>
      </c>
      <c r="O32" s="19" t="n">
        <v>851.7857142857143</v>
      </c>
      <c r="P32" s="19" t="n">
        <v>33326.97</v>
      </c>
      <c r="Q32" s="19" t="n">
        <v>2027.2795851</v>
      </c>
      <c r="R32" s="19" t="n">
        <v>810.91183404</v>
      </c>
    </row>
    <row r="33">
      <c r="A33" s="17" t="inlineStr">
        <is>
          <t>April</t>
        </is>
      </c>
      <c r="B33" s="18" t="n">
        <v>33</v>
      </c>
      <c r="C33" s="19" t="n">
        <v>49689.35</v>
      </c>
      <c r="D33" s="19" t="n">
        <v>8831.440000000001</v>
      </c>
      <c r="E33" s="35" t="n">
        <v>0.1777330554736579</v>
      </c>
      <c r="F33" s="18" t="n">
        <v>44</v>
      </c>
      <c r="G33" s="19" t="n">
        <v>64165.43</v>
      </c>
      <c r="H33" s="19" t="n">
        <v>16668.05</v>
      </c>
      <c r="I33" s="35" t="n">
        <v>0.2597668245969831</v>
      </c>
      <c r="J33" s="18" t="n">
        <v>2</v>
      </c>
      <c r="K33" s="19" t="n">
        <v>19575</v>
      </c>
      <c r="L33" s="19" t="n">
        <v>2939.65</v>
      </c>
      <c r="M33" s="35" t="n">
        <v>0.1501736909323116</v>
      </c>
      <c r="N33" s="19" t="n">
        <v>1505.737878787879</v>
      </c>
      <c r="O33" s="19" t="n">
        <v>9787.5</v>
      </c>
      <c r="P33" s="19" t="n">
        <v>28439.14</v>
      </c>
      <c r="Q33" s="19" t="n">
        <v>1729.9528862</v>
      </c>
      <c r="R33" s="19" t="n">
        <v>691.98115448</v>
      </c>
    </row>
    <row r="35">
      <c r="A35" s="36" t="inlineStr">
        <is>
          <t>PROPOSAL A - PREMIUM-BASED</t>
        </is>
      </c>
    </row>
    <row r="36">
      <c r="A36" s="6" t="inlineStr">
        <is>
          <t>Month</t>
        </is>
      </c>
      <c r="B36" s="6" t="inlineStr">
        <is>
          <t>NB base</t>
        </is>
      </c>
      <c r="C36" s="6" t="inlineStr">
        <is>
          <t>NB col inc</t>
        </is>
      </c>
      <c r="D36" s="6" t="inlineStr">
        <is>
          <t>NB target</t>
        </is>
      </c>
      <c r="E36" s="6" t="inlineStr">
        <is>
          <t>REN base</t>
        </is>
      </c>
      <c r="F36" s="6" t="inlineStr">
        <is>
          <t>REN col inc</t>
        </is>
      </c>
      <c r="G36" s="6" t="inlineStr">
        <is>
          <t>REN target</t>
        </is>
      </c>
      <c r="H36" s="6" t="inlineStr">
        <is>
          <t>RWR target</t>
        </is>
      </c>
      <c r="I36" s="6" t="inlineStr">
        <is>
          <t>Retention</t>
        </is>
      </c>
      <c r="J36" s="6" t="inlineStr">
        <is>
          <t>Total target</t>
        </is>
      </c>
      <c r="K36" s="6" t="inlineStr">
        <is>
          <t>PAID after MIN</t>
        </is>
      </c>
      <c r="L36" s="6" t="inlineStr">
        <is>
          <t>Gates (NB/REN/RWR)</t>
        </is>
      </c>
      <c r="M36" s="6" t="inlineStr">
        <is>
          <t>Safe Net</t>
        </is>
      </c>
      <c r="N36" s="6" t="inlineStr">
        <is>
          <t>vs Current</t>
        </is>
      </c>
      <c r="O36" s="6" t="inlineStr">
        <is>
          <t>Current Bonus</t>
        </is>
      </c>
    </row>
    <row r="37">
      <c r="A37" s="12" t="inlineStr">
        <is>
          <t>January</t>
        </is>
      </c>
      <c r="B37" s="11" t="n">
        <v>161</v>
      </c>
      <c r="C37" s="11" t="n">
        <v>0</v>
      </c>
      <c r="D37" s="11" t="n">
        <v>161</v>
      </c>
      <c r="E37" s="11" t="n">
        <v>44</v>
      </c>
      <c r="F37" s="11" t="n">
        <v>6.58941111111111</v>
      </c>
      <c r="G37" s="11" t="n">
        <v>50.58941111111111</v>
      </c>
      <c r="H37" s="11" t="n">
        <v>144</v>
      </c>
      <c r="I37" s="11" t="n">
        <v>225</v>
      </c>
      <c r="J37" s="11" t="n">
        <v>580.5894111111111</v>
      </c>
      <c r="K37" s="20" t="n">
        <v>275.5894111111111</v>
      </c>
      <c r="L37" s="37" t="inlineStr">
        <is>
          <t>n/Y/n</t>
        </is>
      </c>
      <c r="M37" s="11" t="n">
        <v>1266.0493153</v>
      </c>
      <c r="N37" s="11" t="n">
        <v>-384.4105888888889</v>
      </c>
      <c r="O37" s="11" t="n">
        <v>660</v>
      </c>
    </row>
    <row r="38">
      <c r="A38" s="12" t="inlineStr">
        <is>
          <t>February</t>
        </is>
      </c>
      <c r="B38" s="11" t="n">
        <v>161</v>
      </c>
      <c r="C38" s="11" t="n">
        <v>0</v>
      </c>
      <c r="D38" s="11" t="n">
        <v>161</v>
      </c>
      <c r="E38" s="11" t="n">
        <v>54</v>
      </c>
      <c r="F38" s="11" t="n">
        <v>0</v>
      </c>
      <c r="G38" s="11" t="n">
        <v>54</v>
      </c>
      <c r="H38" s="11" t="n">
        <v>168</v>
      </c>
      <c r="I38" s="11" t="n">
        <v>225</v>
      </c>
      <c r="J38" s="11" t="n">
        <v>608</v>
      </c>
      <c r="K38" s="20" t="n">
        <v>279</v>
      </c>
      <c r="L38" s="37" t="inlineStr">
        <is>
          <t>n/Y/n</t>
        </is>
      </c>
      <c r="M38" s="11" t="n">
        <v>1316.1026725</v>
      </c>
      <c r="N38" s="11" t="n">
        <v>-461</v>
      </c>
      <c r="O38" s="11" t="n">
        <v>740</v>
      </c>
    </row>
    <row r="39">
      <c r="A39" s="12" t="inlineStr">
        <is>
          <t>March</t>
        </is>
      </c>
      <c r="B39" s="11" t="n">
        <v>266</v>
      </c>
      <c r="C39" s="11" t="n">
        <v>0</v>
      </c>
      <c r="D39" s="11" t="n">
        <v>266</v>
      </c>
      <c r="E39" s="11" t="n">
        <v>28</v>
      </c>
      <c r="F39" s="11" t="n">
        <v>2.9375</v>
      </c>
      <c r="G39" s="11" t="n">
        <v>30.9375</v>
      </c>
      <c r="H39" s="11" t="n">
        <v>207</v>
      </c>
      <c r="I39" s="11" t="n">
        <v>225</v>
      </c>
      <c r="J39" s="11" t="n">
        <v>728.9375</v>
      </c>
      <c r="K39" s="20" t="n">
        <v>728.9375</v>
      </c>
      <c r="L39" s="27" t="inlineStr">
        <is>
          <t>Y/Y/Y</t>
        </is>
      </c>
      <c r="M39" s="11" t="n">
        <v>2027.2795851</v>
      </c>
      <c r="N39" s="11" t="n">
        <v>-291.0625</v>
      </c>
      <c r="O39" s="11" t="n">
        <v>1020</v>
      </c>
    </row>
    <row r="40">
      <c r="A40" s="12" t="inlineStr">
        <is>
          <t>April</t>
        </is>
      </c>
      <c r="B40" s="11" t="n">
        <v>231</v>
      </c>
      <c r="C40" s="11" t="n">
        <v>0</v>
      </c>
      <c r="D40" s="11" t="n">
        <v>231</v>
      </c>
      <c r="E40" s="11" t="n">
        <v>20</v>
      </c>
      <c r="F40" s="11" t="n">
        <v>0</v>
      </c>
      <c r="G40" s="11" t="n">
        <v>20</v>
      </c>
      <c r="H40" s="11" t="n">
        <v>173.9615888888889</v>
      </c>
      <c r="I40" s="11" t="n">
        <v>225</v>
      </c>
      <c r="J40" s="11" t="n">
        <v>649.9615888888889</v>
      </c>
      <c r="K40" s="20" t="n">
        <v>649.9615888888889</v>
      </c>
      <c r="L40" s="27" t="inlineStr">
        <is>
          <t>Y/Y/Y</t>
        </is>
      </c>
      <c r="M40" s="11" t="n">
        <v>1729.9528862</v>
      </c>
      <c r="N40" s="11" t="n">
        <v>-70.03841111111115</v>
      </c>
      <c r="O40" s="11" t="n">
        <v>720</v>
      </c>
    </row>
    <row r="41">
      <c r="A41" s="22" t="inlineStr">
        <is>
          <t>4-Month Total</t>
        </is>
      </c>
      <c r="B41" s="38" t="n"/>
      <c r="C41" s="38" t="n"/>
      <c r="D41" s="38" t="n"/>
      <c r="E41" s="38" t="n"/>
      <c r="F41" s="38" t="n"/>
      <c r="G41" s="38" t="n"/>
      <c r="H41" s="38" t="n"/>
      <c r="I41" s="23" t="n">
        <v>2567.4885</v>
      </c>
      <c r="J41" s="23" t="n">
        <v>1933.4885</v>
      </c>
      <c r="K41" s="38" t="n"/>
      <c r="L41" s="38" t="n"/>
      <c r="M41" s="38" t="n"/>
      <c r="N41" s="23" t="n">
        <v>-1206.5115</v>
      </c>
      <c r="O41" s="23" t="n">
        <v>3140</v>
      </c>
    </row>
    <row r="43">
      <c r="A43" s="39" t="inlineStr">
        <is>
          <t>PROPOSAL B - COVERAGE-BASED</t>
        </is>
      </c>
    </row>
    <row r="44">
      <c r="A44" s="6" t="inlineStr">
        <is>
          <t>Month</t>
        </is>
      </c>
      <c r="B44" s="6" t="inlineStr">
        <is>
          <t>NB Base ($10 x ct)</t>
        </is>
      </c>
      <c r="C44" s="6" t="inlineStr">
        <is>
          <t>NB Liab Add ($5 x 35%)</t>
        </is>
      </c>
      <c r="D44" s="6" t="inlineStr">
        <is>
          <t>NB Target (w/ kicker)</t>
        </is>
      </c>
      <c r="E44" s="6" t="inlineStr">
        <is>
          <t>REN Base ($6 x ct)</t>
        </is>
      </c>
      <c r="F44" s="6" t="inlineStr">
        <is>
          <t>REN Liab Add ($3 x 30%)</t>
        </is>
      </c>
      <c r="G44" s="6" t="inlineStr">
        <is>
          <t>REN Target (w/ kicker)</t>
        </is>
      </c>
      <c r="H44" s="6" t="inlineStr">
        <is>
          <t>RWR Target (w/ kicker)</t>
        </is>
      </c>
      <c r="I44" s="6" t="inlineStr">
        <is>
          <t>Total Target (no min)</t>
        </is>
      </c>
      <c r="J44" s="6" t="inlineStr">
        <is>
          <t>PAID after MIN</t>
        </is>
      </c>
      <c r="K44" s="6" t="inlineStr">
        <is>
          <t>Gates (NB/REN/RWR)</t>
        </is>
      </c>
      <c r="L44" s="6" t="inlineStr">
        <is>
          <t>Safe Net</t>
        </is>
      </c>
      <c r="M44" s="6" t="inlineStr">
        <is>
          <t>Bonus % SN</t>
        </is>
      </c>
      <c r="N44" s="6" t="inlineStr">
        <is>
          <t>vs Current</t>
        </is>
      </c>
      <c r="O44" s="6" t="inlineStr">
        <is>
          <t>Current Bonus</t>
        </is>
      </c>
    </row>
    <row r="45">
      <c r="A45" s="15" t="inlineStr">
        <is>
          <t>January</t>
        </is>
      </c>
      <c r="B45" s="14" t="n">
        <v>253</v>
      </c>
      <c r="C45" s="14" t="n">
        <v>48.3</v>
      </c>
      <c r="D45" s="14" t="n">
        <v>301.3</v>
      </c>
      <c r="E45" s="14" t="n">
        <v>77</v>
      </c>
      <c r="F45" s="14" t="n">
        <v>9.899999999999999</v>
      </c>
      <c r="G45" s="14" t="n">
        <v>99.935</v>
      </c>
      <c r="H45" s="14" t="n">
        <v>105.6</v>
      </c>
      <c r="I45" s="14" t="n">
        <v>506.835</v>
      </c>
      <c r="J45" s="21" t="n">
        <v>99.935</v>
      </c>
      <c r="K45" s="37" t="inlineStr">
        <is>
          <t>n/Y/n</t>
        </is>
      </c>
      <c r="L45" s="14" t="n">
        <v>1266.0493153</v>
      </c>
      <c r="M45" s="40" t="n">
        <v>0.4003280076652477</v>
      </c>
      <c r="N45" s="14" t="n">
        <v>-560.0650000000001</v>
      </c>
      <c r="O45" s="14" t="n">
        <v>660</v>
      </c>
    </row>
    <row r="46">
      <c r="A46" s="15" t="inlineStr">
        <is>
          <t>February</t>
        </is>
      </c>
      <c r="B46" s="14" t="n">
        <v>253</v>
      </c>
      <c r="C46" s="14" t="n">
        <v>48.3</v>
      </c>
      <c r="D46" s="14" t="n">
        <v>331.4300000000001</v>
      </c>
      <c r="E46" s="14" t="n">
        <v>63</v>
      </c>
      <c r="F46" s="14" t="n">
        <v>8.1</v>
      </c>
      <c r="G46" s="14" t="n">
        <v>78.20999999999999</v>
      </c>
      <c r="H46" s="14" t="n">
        <v>123.2</v>
      </c>
      <c r="I46" s="14" t="n">
        <v>532.84</v>
      </c>
      <c r="J46" s="21" t="n">
        <v>78.20999999999999</v>
      </c>
      <c r="K46" s="37" t="inlineStr">
        <is>
          <t>n/Y/n</t>
        </is>
      </c>
      <c r="L46" s="14" t="n">
        <v>1316.1026725</v>
      </c>
      <c r="M46" s="40" t="n">
        <v>0.4048620302455925</v>
      </c>
      <c r="N46" s="14" t="n">
        <v>-661.79</v>
      </c>
      <c r="O46" s="14" t="n">
        <v>740</v>
      </c>
    </row>
    <row r="47">
      <c r="A47" s="15" t="inlineStr">
        <is>
          <t>March</t>
        </is>
      </c>
      <c r="B47" s="14" t="n">
        <v>418</v>
      </c>
      <c r="C47" s="14" t="n">
        <v>79.8</v>
      </c>
      <c r="D47" s="14" t="n">
        <v>547.58</v>
      </c>
      <c r="E47" s="14" t="n">
        <v>49</v>
      </c>
      <c r="F47" s="14" t="n">
        <v>6.300000000000001</v>
      </c>
      <c r="G47" s="14" t="n">
        <v>66.36</v>
      </c>
      <c r="H47" s="14" t="n">
        <v>151.8</v>
      </c>
      <c r="I47" s="14" t="n">
        <v>765.74</v>
      </c>
      <c r="J47" s="21" t="n">
        <v>765.74</v>
      </c>
      <c r="K47" s="27" t="inlineStr">
        <is>
          <t>Y/Y/Y</t>
        </is>
      </c>
      <c r="L47" s="14" t="n">
        <v>2027.2795851</v>
      </c>
      <c r="M47" s="40" t="n">
        <v>0.3777180047725031</v>
      </c>
      <c r="N47" s="14" t="n">
        <v>-254.26</v>
      </c>
      <c r="O47" s="14" t="n">
        <v>1020</v>
      </c>
    </row>
    <row r="48">
      <c r="A48" s="15" t="inlineStr">
        <is>
          <t>April</t>
        </is>
      </c>
      <c r="B48" s="14" t="n">
        <v>363</v>
      </c>
      <c r="C48" s="14" t="n">
        <v>69.3</v>
      </c>
      <c r="D48" s="14" t="n">
        <v>475.53</v>
      </c>
      <c r="E48" s="14" t="n">
        <v>14</v>
      </c>
      <c r="F48" s="14" t="n">
        <v>1.8</v>
      </c>
      <c r="G48" s="14" t="n">
        <v>17.38</v>
      </c>
      <c r="H48" s="14" t="n">
        <v>101.2</v>
      </c>
      <c r="I48" s="14" t="n">
        <v>594.11</v>
      </c>
      <c r="J48" s="21" t="n">
        <v>594.11</v>
      </c>
      <c r="K48" s="27" t="inlineStr">
        <is>
          <t>Y/Y/Y</t>
        </is>
      </c>
      <c r="L48" s="14" t="n">
        <v>1729.9528862</v>
      </c>
      <c r="M48" s="40" t="n">
        <v>0.3434255376197077</v>
      </c>
      <c r="N48" s="14" t="n">
        <v>-125.89</v>
      </c>
      <c r="O48" s="14" t="n">
        <v>720</v>
      </c>
    </row>
    <row r="49">
      <c r="A49" s="22" t="inlineStr">
        <is>
          <t>4-Month Total</t>
        </is>
      </c>
      <c r="B49" s="38" t="n"/>
      <c r="C49" s="38" t="n"/>
      <c r="D49" s="38" t="n"/>
      <c r="E49" s="38" t="n"/>
      <c r="F49" s="38" t="n"/>
      <c r="G49" s="38" t="n"/>
      <c r="H49" s="38" t="n"/>
      <c r="I49" s="23" t="n">
        <v>2399.525</v>
      </c>
      <c r="J49" s="23" t="n">
        <v>1537.995</v>
      </c>
      <c r="K49" s="38" t="n"/>
      <c r="L49" s="38" t="n"/>
      <c r="M49" s="38" t="n"/>
      <c r="N49" s="23" t="n">
        <v>-1602.005</v>
      </c>
      <c r="O49" s="23" t="n">
        <v>3140</v>
      </c>
    </row>
    <row r="52" ht="22" customHeight="1">
      <c r="A52" s="5" t="inlineStr">
        <is>
          <t>Melissa Hernandez</t>
        </is>
      </c>
    </row>
    <row r="53">
      <c r="A53" s="6" t="inlineStr">
        <is>
          <t>Month</t>
        </is>
      </c>
      <c r="B53" s="6" t="inlineStr">
        <is>
          <t>NB Count</t>
        </is>
      </c>
      <c r="C53" s="6" t="inlineStr">
        <is>
          <t>NB Premium</t>
        </is>
      </c>
      <c r="D53" s="6" t="inlineStr">
        <is>
          <t>NB Collected</t>
        </is>
      </c>
      <c r="E53" s="6" t="inlineStr">
        <is>
          <t>NB Coll %</t>
        </is>
      </c>
      <c r="F53" s="6" t="inlineStr">
        <is>
          <t>RWR Count</t>
        </is>
      </c>
      <c r="G53" s="6" t="inlineStr">
        <is>
          <t>RWR Premium</t>
        </is>
      </c>
      <c r="H53" s="6" t="inlineStr">
        <is>
          <t>RWR Collected</t>
        </is>
      </c>
      <c r="I53" s="6" t="inlineStr">
        <is>
          <t>RWR Coll %</t>
        </is>
      </c>
      <c r="J53" s="6" t="inlineStr">
        <is>
          <t>REN Count</t>
        </is>
      </c>
      <c r="K53" s="6" t="inlineStr">
        <is>
          <t>REN Premium</t>
        </is>
      </c>
      <c r="L53" s="6" t="inlineStr">
        <is>
          <t>REN Collected</t>
        </is>
      </c>
      <c r="M53" s="6" t="inlineStr">
        <is>
          <t>REN Coll %</t>
        </is>
      </c>
      <c r="N53" s="6" t="inlineStr">
        <is>
          <t>Avg NB Prem</t>
        </is>
      </c>
      <c r="O53" s="6" t="inlineStr">
        <is>
          <t>Avg REN Prem</t>
        </is>
      </c>
      <c r="P53" s="6" t="inlineStr">
        <is>
          <t>Total Collected</t>
        </is>
      </c>
      <c r="Q53" s="6" t="inlineStr">
        <is>
          <t>Safe Net</t>
        </is>
      </c>
      <c r="R53" s="6" t="inlineStr">
        <is>
          <t>Cap</t>
        </is>
      </c>
    </row>
    <row r="54">
      <c r="A54" s="17" t="inlineStr">
        <is>
          <t>January</t>
        </is>
      </c>
      <c r="B54" s="18" t="n">
        <v>31</v>
      </c>
      <c r="C54" s="19" t="n">
        <v>37039</v>
      </c>
      <c r="D54" s="19" t="n">
        <v>7651.14</v>
      </c>
      <c r="E54" s="35" t="n">
        <v>0.2065698317989147</v>
      </c>
      <c r="F54" s="18" t="n">
        <v>48</v>
      </c>
      <c r="G54" s="19" t="n">
        <v>63374.5</v>
      </c>
      <c r="H54" s="19" t="n">
        <v>11897.57</v>
      </c>
      <c r="I54" s="35" t="n">
        <v>0.1877343410993381</v>
      </c>
      <c r="J54" s="18" t="n">
        <v>0</v>
      </c>
      <c r="K54" s="19" t="n">
        <v>0</v>
      </c>
      <c r="L54" s="19" t="n">
        <v>0</v>
      </c>
      <c r="M54" s="35" t="n">
        <v>0</v>
      </c>
      <c r="N54" s="19" t="n">
        <v>1194.806451612903</v>
      </c>
      <c r="O54" s="19" t="n">
        <v>0</v>
      </c>
      <c r="P54" s="19" t="n">
        <v>19548.71</v>
      </c>
      <c r="Q54" s="19" t="n">
        <v>1189.1480293</v>
      </c>
      <c r="R54" s="19" t="n">
        <v>475.65921172</v>
      </c>
    </row>
    <row r="55">
      <c r="A55" s="17" t="inlineStr">
        <is>
          <t>February</t>
        </is>
      </c>
      <c r="B55" s="18" t="n">
        <v>13</v>
      </c>
      <c r="C55" s="19" t="n">
        <v>7659.5</v>
      </c>
      <c r="D55" s="19" t="n">
        <v>2095.02</v>
      </c>
      <c r="E55" s="35" t="n">
        <v>0.2735191592140479</v>
      </c>
      <c r="F55" s="18" t="n">
        <v>37</v>
      </c>
      <c r="G55" s="19" t="n">
        <v>49990.7</v>
      </c>
      <c r="H55" s="19" t="n">
        <v>6802.73</v>
      </c>
      <c r="I55" s="35" t="n">
        <v>0.1360799108634206</v>
      </c>
      <c r="J55" s="18" t="n">
        <v>1</v>
      </c>
      <c r="K55" s="19" t="n">
        <v>1063</v>
      </c>
      <c r="L55" s="19" t="n">
        <v>91.75</v>
      </c>
      <c r="M55" s="35" t="n">
        <v>0.08631232361241768</v>
      </c>
      <c r="N55" s="19" t="n">
        <v>589.1923076923077</v>
      </c>
      <c r="O55" s="19" t="n">
        <v>1063</v>
      </c>
      <c r="P55" s="19" t="n">
        <v>8989.5</v>
      </c>
      <c r="Q55" s="19" t="n">
        <v>546.831285</v>
      </c>
      <c r="R55" s="19" t="n">
        <v>218.732514</v>
      </c>
    </row>
    <row r="56">
      <c r="A56" s="17" t="inlineStr">
        <is>
          <t>March</t>
        </is>
      </c>
      <c r="B56" s="18" t="n">
        <v>28</v>
      </c>
      <c r="C56" s="19" t="n">
        <v>39759.7</v>
      </c>
      <c r="D56" s="19" t="n">
        <v>5669.41</v>
      </c>
      <c r="E56" s="35" t="n">
        <v>0.142591870663008</v>
      </c>
      <c r="F56" s="18" t="n">
        <v>48</v>
      </c>
      <c r="G56" s="19" t="n">
        <v>56860.6</v>
      </c>
      <c r="H56" s="19" t="n">
        <v>8620.469999999999</v>
      </c>
      <c r="I56" s="35" t="n">
        <v>0.1516070882122243</v>
      </c>
      <c r="J56" s="18" t="n">
        <v>1</v>
      </c>
      <c r="K56" s="19" t="n">
        <v>1034</v>
      </c>
      <c r="L56" s="19" t="n">
        <v>180.45</v>
      </c>
      <c r="M56" s="35" t="n">
        <v>0.1745164410058027</v>
      </c>
      <c r="N56" s="19" t="n">
        <v>1419.989285714286</v>
      </c>
      <c r="O56" s="19" t="n">
        <v>1034</v>
      </c>
      <c r="P56" s="19" t="n">
        <v>14470.33</v>
      </c>
      <c r="Q56" s="19" t="n">
        <v>880.2301739</v>
      </c>
      <c r="R56" s="19" t="n">
        <v>352.09206956</v>
      </c>
    </row>
    <row r="57">
      <c r="A57" s="17" t="inlineStr">
        <is>
          <t>April</t>
        </is>
      </c>
      <c r="B57" s="18" t="n">
        <v>15</v>
      </c>
      <c r="C57" s="19" t="n">
        <v>19288.35</v>
      </c>
      <c r="D57" s="19" t="n">
        <v>4344.3</v>
      </c>
      <c r="E57" s="35" t="n">
        <v>0.225229218673448</v>
      </c>
      <c r="F57" s="18" t="n">
        <v>37</v>
      </c>
      <c r="G57" s="19" t="n">
        <v>43396.2</v>
      </c>
      <c r="H57" s="19" t="n">
        <v>7660.7</v>
      </c>
      <c r="I57" s="35" t="n">
        <v>0.1765292813656495</v>
      </c>
      <c r="J57" s="18" t="n">
        <v>0</v>
      </c>
      <c r="K57" s="19" t="n">
        <v>0</v>
      </c>
      <c r="L57" s="19" t="n">
        <v>0</v>
      </c>
      <c r="M57" s="35" t="n">
        <v>0</v>
      </c>
      <c r="N57" s="19" t="n">
        <v>1285.89</v>
      </c>
      <c r="O57" s="19" t="n">
        <v>0</v>
      </c>
      <c r="P57" s="19" t="n">
        <v>12005</v>
      </c>
      <c r="Q57" s="19" t="n">
        <v>730.26415</v>
      </c>
      <c r="R57" s="19" t="n">
        <v>292.10566</v>
      </c>
    </row>
    <row r="59">
      <c r="A59" s="36" t="inlineStr">
        <is>
          <t>PROPOSAL A - PREMIUM-BASED</t>
        </is>
      </c>
    </row>
    <row r="60">
      <c r="A60" s="6" t="inlineStr">
        <is>
          <t>Month</t>
        </is>
      </c>
      <c r="B60" s="6" t="inlineStr">
        <is>
          <t>NB base</t>
        </is>
      </c>
      <c r="C60" s="6" t="inlineStr">
        <is>
          <t>NB col inc</t>
        </is>
      </c>
      <c r="D60" s="6" t="inlineStr">
        <is>
          <t>NB target</t>
        </is>
      </c>
      <c r="E60" s="6" t="inlineStr">
        <is>
          <t>REN base</t>
        </is>
      </c>
      <c r="F60" s="6" t="inlineStr">
        <is>
          <t>REN col inc</t>
        </is>
      </c>
      <c r="G60" s="6" t="inlineStr">
        <is>
          <t>REN target</t>
        </is>
      </c>
      <c r="H60" s="6" t="inlineStr">
        <is>
          <t>RWR target</t>
        </is>
      </c>
      <c r="I60" s="6" t="inlineStr">
        <is>
          <t>Retention</t>
        </is>
      </c>
      <c r="J60" s="6" t="inlineStr">
        <is>
          <t>Total target</t>
        </is>
      </c>
      <c r="K60" s="6" t="inlineStr">
        <is>
          <t>PAID after MIN</t>
        </is>
      </c>
      <c r="L60" s="6" t="inlineStr">
        <is>
          <t>Gates (NB/REN/RWR)</t>
        </is>
      </c>
      <c r="M60" s="6" t="inlineStr">
        <is>
          <t>Safe Net</t>
        </is>
      </c>
      <c r="N60" s="6" t="inlineStr">
        <is>
          <t>vs Current</t>
        </is>
      </c>
      <c r="O60" s="6" t="inlineStr">
        <is>
          <t>Current Bonus</t>
        </is>
      </c>
    </row>
    <row r="61">
      <c r="A61" s="12" t="inlineStr">
        <is>
          <t>January</t>
        </is>
      </c>
      <c r="B61" s="11" t="n">
        <v>155</v>
      </c>
      <c r="C61" s="11" t="n">
        <v>0</v>
      </c>
      <c r="D61" s="11" t="n">
        <v>155</v>
      </c>
      <c r="E61" s="11" t="n">
        <v>0</v>
      </c>
      <c r="F61" s="11" t="n">
        <v>0</v>
      </c>
      <c r="G61" s="11" t="n">
        <v>0</v>
      </c>
      <c r="H61" s="11" t="n">
        <v>144</v>
      </c>
      <c r="I61" s="11" t="n">
        <v>225</v>
      </c>
      <c r="J61" s="11" t="n">
        <v>524</v>
      </c>
      <c r="K61" s="20" t="n">
        <v>225</v>
      </c>
      <c r="L61" s="37" t="inlineStr">
        <is>
          <t>n/Y/n</t>
        </is>
      </c>
      <c r="M61" s="11" t="n">
        <v>1189.1480293</v>
      </c>
      <c r="N61" s="11" t="n">
        <v>-515</v>
      </c>
      <c r="O61" s="11" t="n">
        <v>740</v>
      </c>
    </row>
    <row r="62">
      <c r="A62" s="12" t="inlineStr">
        <is>
          <t>February</t>
        </is>
      </c>
      <c r="B62" s="11" t="n">
        <v>65</v>
      </c>
      <c r="C62" s="11" t="n">
        <v>0</v>
      </c>
      <c r="D62" s="11" t="n">
        <v>65</v>
      </c>
      <c r="E62" s="11" t="n">
        <v>4</v>
      </c>
      <c r="F62" s="11" t="n">
        <v>0</v>
      </c>
      <c r="G62" s="11" t="n">
        <v>4</v>
      </c>
      <c r="H62" s="11" t="n">
        <v>111</v>
      </c>
      <c r="I62" s="11" t="n">
        <v>225</v>
      </c>
      <c r="J62" s="11" t="n">
        <v>405</v>
      </c>
      <c r="K62" s="20" t="n">
        <v>229</v>
      </c>
      <c r="L62" s="37" t="inlineStr">
        <is>
          <t>n/Y/n</t>
        </is>
      </c>
      <c r="M62" s="11" t="n">
        <v>546.831285</v>
      </c>
      <c r="N62" s="11" t="n">
        <v>-221</v>
      </c>
      <c r="O62" s="11" t="n">
        <v>450</v>
      </c>
    </row>
    <row r="63">
      <c r="A63" s="12" t="inlineStr">
        <is>
          <t>March</t>
        </is>
      </c>
      <c r="B63" s="11" t="n">
        <v>196</v>
      </c>
      <c r="C63" s="11" t="n">
        <v>0</v>
      </c>
      <c r="D63" s="11" t="n">
        <v>196</v>
      </c>
      <c r="E63" s="11" t="n">
        <v>4</v>
      </c>
      <c r="F63" s="11" t="n">
        <v>0</v>
      </c>
      <c r="G63" s="11" t="n">
        <v>4</v>
      </c>
      <c r="H63" s="11" t="n">
        <v>96</v>
      </c>
      <c r="I63" s="11" t="n">
        <v>225</v>
      </c>
      <c r="J63" s="11" t="n">
        <v>521</v>
      </c>
      <c r="K63" s="20" t="n">
        <v>229</v>
      </c>
      <c r="L63" s="37" t="inlineStr">
        <is>
          <t>n/Y/n</t>
        </is>
      </c>
      <c r="M63" s="11" t="n">
        <v>880.2301739</v>
      </c>
      <c r="N63" s="11" t="n">
        <v>-481</v>
      </c>
      <c r="O63" s="11" t="n">
        <v>710</v>
      </c>
    </row>
    <row r="64">
      <c r="A64" s="12" t="inlineStr">
        <is>
          <t>April</t>
        </is>
      </c>
      <c r="B64" s="11" t="n">
        <v>105</v>
      </c>
      <c r="C64" s="11" t="n">
        <v>0</v>
      </c>
      <c r="D64" s="11" t="n">
        <v>105</v>
      </c>
      <c r="E64" s="11" t="n">
        <v>0</v>
      </c>
      <c r="F64" s="11" t="n">
        <v>0</v>
      </c>
      <c r="G64" s="11" t="n">
        <v>0</v>
      </c>
      <c r="H64" s="11" t="n">
        <v>74</v>
      </c>
      <c r="I64" s="11" t="n">
        <v>225</v>
      </c>
      <c r="J64" s="11" t="n">
        <v>404</v>
      </c>
      <c r="K64" s="20" t="n">
        <v>225</v>
      </c>
      <c r="L64" s="37" t="inlineStr">
        <is>
          <t>n/Y/n</t>
        </is>
      </c>
      <c r="M64" s="11" t="n">
        <v>730.26415</v>
      </c>
      <c r="N64" s="11" t="n">
        <v>-245</v>
      </c>
      <c r="O64" s="11" t="n">
        <v>470</v>
      </c>
    </row>
    <row r="65">
      <c r="A65" s="22" t="inlineStr">
        <is>
          <t>4-Month Total</t>
        </is>
      </c>
      <c r="B65" s="38" t="n"/>
      <c r="C65" s="38" t="n"/>
      <c r="D65" s="38" t="n"/>
      <c r="E65" s="38" t="n"/>
      <c r="F65" s="38" t="n"/>
      <c r="G65" s="38" t="n"/>
      <c r="H65" s="38" t="n"/>
      <c r="I65" s="23" t="n">
        <v>1854</v>
      </c>
      <c r="J65" s="23" t="n">
        <v>908</v>
      </c>
      <c r="K65" s="38" t="n"/>
      <c r="L65" s="38" t="n"/>
      <c r="M65" s="38" t="n"/>
      <c r="N65" s="23" t="n">
        <v>-1462</v>
      </c>
      <c r="O65" s="23" t="n">
        <v>2370</v>
      </c>
    </row>
    <row r="67">
      <c r="A67" s="39" t="inlineStr">
        <is>
          <t>PROPOSAL B - COVERAGE-BASED</t>
        </is>
      </c>
    </row>
    <row r="68">
      <c r="A68" s="6" t="inlineStr">
        <is>
          <t>Month</t>
        </is>
      </c>
      <c r="B68" s="6" t="inlineStr">
        <is>
          <t>NB Base ($10 x ct)</t>
        </is>
      </c>
      <c r="C68" s="6" t="inlineStr">
        <is>
          <t>NB Liab Add ($5 x 35%)</t>
        </is>
      </c>
      <c r="D68" s="6" t="inlineStr">
        <is>
          <t>NB Target (w/ kicker)</t>
        </is>
      </c>
      <c r="E68" s="6" t="inlineStr">
        <is>
          <t>REN Base ($6 x ct)</t>
        </is>
      </c>
      <c r="F68" s="6" t="inlineStr">
        <is>
          <t>REN Liab Add ($3 x 30%)</t>
        </is>
      </c>
      <c r="G68" s="6" t="inlineStr">
        <is>
          <t>REN Target (w/ kicker)</t>
        </is>
      </c>
      <c r="H68" s="6" t="inlineStr">
        <is>
          <t>RWR Target (w/ kicker)</t>
        </is>
      </c>
      <c r="I68" s="6" t="inlineStr">
        <is>
          <t>Total Target (no min)</t>
        </is>
      </c>
      <c r="J68" s="6" t="inlineStr">
        <is>
          <t>PAID after MIN</t>
        </is>
      </c>
      <c r="K68" s="6" t="inlineStr">
        <is>
          <t>Gates (NB/REN/RWR)</t>
        </is>
      </c>
      <c r="L68" s="6" t="inlineStr">
        <is>
          <t>Safe Net</t>
        </is>
      </c>
      <c r="M68" s="6" t="inlineStr">
        <is>
          <t>Bonus % SN</t>
        </is>
      </c>
      <c r="N68" s="6" t="inlineStr">
        <is>
          <t>vs Current</t>
        </is>
      </c>
      <c r="O68" s="6" t="inlineStr">
        <is>
          <t>Current Bonus</t>
        </is>
      </c>
    </row>
    <row r="69">
      <c r="A69" s="15" t="inlineStr">
        <is>
          <t>January</t>
        </is>
      </c>
      <c r="B69" s="14" t="n">
        <v>341</v>
      </c>
      <c r="C69" s="14" t="n">
        <v>65.09999999999999</v>
      </c>
      <c r="D69" s="14" t="n">
        <v>446.71</v>
      </c>
      <c r="E69" s="14" t="n">
        <v>0</v>
      </c>
      <c r="F69" s="14" t="n">
        <v>0</v>
      </c>
      <c r="G69" s="14" t="n">
        <v>0</v>
      </c>
      <c r="H69" s="14" t="n">
        <v>105.6</v>
      </c>
      <c r="I69" s="14" t="n">
        <v>552.3100000000001</v>
      </c>
      <c r="J69" s="21" t="n">
        <v>0</v>
      </c>
      <c r="K69" s="37" t="inlineStr">
        <is>
          <t>n/Y/n</t>
        </is>
      </c>
      <c r="L69" s="14" t="n">
        <v>1189.1480293</v>
      </c>
      <c r="M69" s="40" t="n">
        <v>0.4644585757124965</v>
      </c>
      <c r="N69" s="14" t="n">
        <v>-740</v>
      </c>
      <c r="O69" s="14" t="n">
        <v>740</v>
      </c>
    </row>
    <row r="70">
      <c r="A70" s="15" t="inlineStr">
        <is>
          <t>February</t>
        </is>
      </c>
      <c r="B70" s="14" t="n">
        <v>143</v>
      </c>
      <c r="C70" s="14" t="n">
        <v>27.3</v>
      </c>
      <c r="D70" s="14" t="n">
        <v>195.845</v>
      </c>
      <c r="E70" s="14" t="n">
        <v>7</v>
      </c>
      <c r="F70" s="14" t="n">
        <v>0.8999999999999999</v>
      </c>
      <c r="G70" s="14" t="n">
        <v>7.9</v>
      </c>
      <c r="H70" s="14" t="n">
        <v>74</v>
      </c>
      <c r="I70" s="14" t="n">
        <v>277.745</v>
      </c>
      <c r="J70" s="21" t="n">
        <v>7.9</v>
      </c>
      <c r="K70" s="37" t="inlineStr">
        <is>
          <t>n/Y/n</t>
        </is>
      </c>
      <c r="L70" s="14" t="n">
        <v>546.831285</v>
      </c>
      <c r="M70" s="40" t="n">
        <v>0.507917172295656</v>
      </c>
      <c r="N70" s="14" t="n">
        <v>-442.1</v>
      </c>
      <c r="O70" s="14" t="n">
        <v>450</v>
      </c>
    </row>
    <row r="71">
      <c r="A71" s="15" t="inlineStr">
        <is>
          <t>March</t>
        </is>
      </c>
      <c r="B71" s="14" t="n">
        <v>308</v>
      </c>
      <c r="C71" s="14" t="n">
        <v>58.8</v>
      </c>
      <c r="D71" s="14" t="n">
        <v>366.8</v>
      </c>
      <c r="E71" s="14" t="n">
        <v>7</v>
      </c>
      <c r="F71" s="14" t="n">
        <v>0.8999999999999999</v>
      </c>
      <c r="G71" s="14" t="n">
        <v>8.690000000000001</v>
      </c>
      <c r="H71" s="14" t="n">
        <v>105.6</v>
      </c>
      <c r="I71" s="14" t="n">
        <v>481.09</v>
      </c>
      <c r="J71" s="21" t="n">
        <v>8.690000000000001</v>
      </c>
      <c r="K71" s="37" t="inlineStr">
        <is>
          <t>n/Y/n</t>
        </is>
      </c>
      <c r="L71" s="14" t="n">
        <v>880.2301739</v>
      </c>
      <c r="M71" s="40" t="n">
        <v>0.5465502254580233</v>
      </c>
      <c r="N71" s="14" t="n">
        <v>-701.3099999999999</v>
      </c>
      <c r="O71" s="14" t="n">
        <v>710</v>
      </c>
    </row>
    <row r="72">
      <c r="A72" s="15" t="inlineStr">
        <is>
          <t>April</t>
        </is>
      </c>
      <c r="B72" s="14" t="n">
        <v>165</v>
      </c>
      <c r="C72" s="14" t="n">
        <v>31.5</v>
      </c>
      <c r="D72" s="14" t="n">
        <v>216.15</v>
      </c>
      <c r="E72" s="14" t="n">
        <v>0</v>
      </c>
      <c r="F72" s="14" t="n">
        <v>0</v>
      </c>
      <c r="G72" s="14" t="n">
        <v>0</v>
      </c>
      <c r="H72" s="14" t="n">
        <v>81.40000000000001</v>
      </c>
      <c r="I72" s="14" t="n">
        <v>297.55</v>
      </c>
      <c r="J72" s="21" t="n">
        <v>0</v>
      </c>
      <c r="K72" s="37" t="inlineStr">
        <is>
          <t>n/Y/n</t>
        </is>
      </c>
      <c r="L72" s="14" t="n">
        <v>730.26415</v>
      </c>
      <c r="M72" s="40" t="n">
        <v>0.4074553023039677</v>
      </c>
      <c r="N72" s="14" t="n">
        <v>-470</v>
      </c>
      <c r="O72" s="14" t="n">
        <v>470</v>
      </c>
    </row>
    <row r="73">
      <c r="A73" s="22" t="inlineStr">
        <is>
          <t>4-Month Total</t>
        </is>
      </c>
      <c r="B73" s="38" t="n"/>
      <c r="C73" s="38" t="n"/>
      <c r="D73" s="38" t="n"/>
      <c r="E73" s="38" t="n"/>
      <c r="F73" s="38" t="n"/>
      <c r="G73" s="38" t="n"/>
      <c r="H73" s="38" t="n"/>
      <c r="I73" s="23" t="n">
        <v>1608.695</v>
      </c>
      <c r="J73" s="23" t="n">
        <v>16.59</v>
      </c>
      <c r="K73" s="38" t="n"/>
      <c r="L73" s="38" t="n"/>
      <c r="M73" s="38" t="n"/>
      <c r="N73" s="23" t="n">
        <v>-2353.41</v>
      </c>
      <c r="O73" s="23" t="n">
        <v>2370</v>
      </c>
    </row>
    <row r="76" ht="22" customHeight="1">
      <c r="A76" s="5" t="inlineStr">
        <is>
          <t>Flavia Parra</t>
        </is>
      </c>
    </row>
    <row r="77">
      <c r="A77" s="6" t="inlineStr">
        <is>
          <t>Month</t>
        </is>
      </c>
      <c r="B77" s="6" t="inlineStr">
        <is>
          <t>NB Count</t>
        </is>
      </c>
      <c r="C77" s="6" t="inlineStr">
        <is>
          <t>NB Premium</t>
        </is>
      </c>
      <c r="D77" s="6" t="inlineStr">
        <is>
          <t>NB Collected</t>
        </is>
      </c>
      <c r="E77" s="6" t="inlineStr">
        <is>
          <t>NB Coll %</t>
        </is>
      </c>
      <c r="F77" s="6" t="inlineStr">
        <is>
          <t>RWR Count</t>
        </is>
      </c>
      <c r="G77" s="6" t="inlineStr">
        <is>
          <t>RWR Premium</t>
        </is>
      </c>
      <c r="H77" s="6" t="inlineStr">
        <is>
          <t>RWR Collected</t>
        </is>
      </c>
      <c r="I77" s="6" t="inlineStr">
        <is>
          <t>RWR Coll %</t>
        </is>
      </c>
      <c r="J77" s="6" t="inlineStr">
        <is>
          <t>REN Count</t>
        </is>
      </c>
      <c r="K77" s="6" t="inlineStr">
        <is>
          <t>REN Premium</t>
        </is>
      </c>
      <c r="L77" s="6" t="inlineStr">
        <is>
          <t>REN Collected</t>
        </is>
      </c>
      <c r="M77" s="6" t="inlineStr">
        <is>
          <t>REN Coll %</t>
        </is>
      </c>
      <c r="N77" s="6" t="inlineStr">
        <is>
          <t>Avg NB Prem</t>
        </is>
      </c>
      <c r="O77" s="6" t="inlineStr">
        <is>
          <t>Avg REN Prem</t>
        </is>
      </c>
      <c r="P77" s="6" t="inlineStr">
        <is>
          <t>Total Collected</t>
        </is>
      </c>
      <c r="Q77" s="6" t="inlineStr">
        <is>
          <t>Safe Net</t>
        </is>
      </c>
      <c r="R77" s="6" t="inlineStr">
        <is>
          <t>Cap</t>
        </is>
      </c>
    </row>
    <row r="78">
      <c r="A78" s="17" t="inlineStr">
        <is>
          <t>January</t>
        </is>
      </c>
      <c r="B78" s="18" t="n">
        <v>19</v>
      </c>
      <c r="C78" s="19" t="n">
        <v>28525.05</v>
      </c>
      <c r="D78" s="19" t="n">
        <v>5657.4</v>
      </c>
      <c r="E78" s="35" t="n">
        <v>0.1983309406994904</v>
      </c>
      <c r="F78" s="18" t="n">
        <v>35</v>
      </c>
      <c r="G78" s="19" t="n">
        <v>39558.05</v>
      </c>
      <c r="H78" s="19" t="n">
        <v>8795.290000000001</v>
      </c>
      <c r="I78" s="35" t="n">
        <v>0.2223388159932049</v>
      </c>
      <c r="J78" s="18" t="n">
        <v>1</v>
      </c>
      <c r="K78" s="19" t="n">
        <v>1464.35</v>
      </c>
      <c r="L78" s="19" t="n">
        <v>302.12</v>
      </c>
      <c r="M78" s="35" t="n">
        <v>0.2063167958479872</v>
      </c>
      <c r="N78" s="19" t="n">
        <v>1501.318421052631</v>
      </c>
      <c r="O78" s="19" t="n">
        <v>1464.35</v>
      </c>
      <c r="P78" s="19" t="n">
        <v>14754.81</v>
      </c>
      <c r="Q78" s="19" t="n">
        <v>897.5350923</v>
      </c>
      <c r="R78" s="19" t="n">
        <v>359.01403692</v>
      </c>
    </row>
    <row r="79">
      <c r="A79" s="17" t="inlineStr">
        <is>
          <t>February</t>
        </is>
      </c>
      <c r="B79" s="18" t="n">
        <v>23</v>
      </c>
      <c r="C79" s="19" t="n">
        <v>22247.7</v>
      </c>
      <c r="D79" s="19" t="n">
        <v>3832.59</v>
      </c>
      <c r="E79" s="35" t="n">
        <v>0.1722690435415796</v>
      </c>
      <c r="F79" s="18" t="n">
        <v>42</v>
      </c>
      <c r="G79" s="19" t="n">
        <v>43687.45</v>
      </c>
      <c r="H79" s="19" t="n">
        <v>13820.09</v>
      </c>
      <c r="I79" s="35" t="n">
        <v>0.3163400473133589</v>
      </c>
      <c r="J79" s="18" t="n">
        <v>2</v>
      </c>
      <c r="K79" s="19" t="n">
        <v>2099</v>
      </c>
      <c r="L79" s="19" t="n">
        <v>321.01</v>
      </c>
      <c r="M79" s="35" t="n">
        <v>0.152934730824202</v>
      </c>
      <c r="N79" s="19" t="n">
        <v>967.2913043478261</v>
      </c>
      <c r="O79" s="19" t="n">
        <v>1049.5</v>
      </c>
      <c r="P79" s="19" t="n">
        <v>17973.69</v>
      </c>
      <c r="Q79" s="19" t="n">
        <v>1093.3395627</v>
      </c>
      <c r="R79" s="19" t="n">
        <v>437.3358250799999</v>
      </c>
    </row>
    <row r="80">
      <c r="A80" s="17" t="inlineStr">
        <is>
          <t>March</t>
        </is>
      </c>
      <c r="B80" s="18" t="n">
        <v>27</v>
      </c>
      <c r="C80" s="19" t="n">
        <v>31269</v>
      </c>
      <c r="D80" s="19" t="n">
        <v>8642.02</v>
      </c>
      <c r="E80" s="35" t="n">
        <v>0.2763766030253606</v>
      </c>
      <c r="F80" s="18" t="n">
        <v>27</v>
      </c>
      <c r="G80" s="19" t="n">
        <v>23526.7</v>
      </c>
      <c r="H80" s="19" t="n">
        <v>9060.629999999999</v>
      </c>
      <c r="I80" s="35" t="n">
        <v>0.3851211602137146</v>
      </c>
      <c r="J80" s="18" t="n">
        <v>0</v>
      </c>
      <c r="K80" s="19" t="n">
        <v>0</v>
      </c>
      <c r="L80" s="19" t="n">
        <v>0</v>
      </c>
      <c r="M80" s="35" t="n">
        <v>0</v>
      </c>
      <c r="N80" s="19" t="n">
        <v>1158.111111111111</v>
      </c>
      <c r="O80" s="19" t="n">
        <v>0</v>
      </c>
      <c r="P80" s="19" t="n">
        <v>17702.65</v>
      </c>
      <c r="Q80" s="19" t="n">
        <v>1076.8521995</v>
      </c>
      <c r="R80" s="19" t="n">
        <v>430.7408798000001</v>
      </c>
    </row>
    <row r="81">
      <c r="A81" s="17" t="inlineStr">
        <is>
          <t>April</t>
        </is>
      </c>
      <c r="B81" s="18" t="n">
        <v>23</v>
      </c>
      <c r="C81" s="19" t="n">
        <v>29581.05</v>
      </c>
      <c r="D81" s="19" t="n">
        <v>6600.51</v>
      </c>
      <c r="E81" s="35" t="n">
        <v>0.2231330530863509</v>
      </c>
      <c r="F81" s="18" t="n">
        <v>31</v>
      </c>
      <c r="G81" s="19" t="n">
        <v>30832.76</v>
      </c>
      <c r="H81" s="19" t="n">
        <v>7710.62</v>
      </c>
      <c r="I81" s="35" t="n">
        <v>0.2500788122762931</v>
      </c>
      <c r="J81" s="18" t="n">
        <v>1</v>
      </c>
      <c r="K81" s="19" t="n">
        <v>885</v>
      </c>
      <c r="L81" s="19" t="n">
        <v>885</v>
      </c>
      <c r="M81" s="35" t="n">
        <v>1</v>
      </c>
      <c r="N81" s="19" t="n">
        <v>1286.132608695652</v>
      </c>
      <c r="O81" s="19" t="n">
        <v>885</v>
      </c>
      <c r="P81" s="19" t="n">
        <v>15196.13</v>
      </c>
      <c r="Q81" s="19" t="n">
        <v>924.3805879000001</v>
      </c>
      <c r="R81" s="19" t="n">
        <v>369.7522351600001</v>
      </c>
    </row>
    <row r="83">
      <c r="A83" s="36" t="inlineStr">
        <is>
          <t>PROPOSAL A - PREMIUM-BASED</t>
        </is>
      </c>
    </row>
    <row r="84">
      <c r="A84" s="6" t="inlineStr">
        <is>
          <t>Month</t>
        </is>
      </c>
      <c r="B84" s="6" t="inlineStr">
        <is>
          <t>NB base</t>
        </is>
      </c>
      <c r="C84" s="6" t="inlineStr">
        <is>
          <t>NB col inc</t>
        </is>
      </c>
      <c r="D84" s="6" t="inlineStr">
        <is>
          <t>NB target</t>
        </is>
      </c>
      <c r="E84" s="6" t="inlineStr">
        <is>
          <t>REN base</t>
        </is>
      </c>
      <c r="F84" s="6" t="inlineStr">
        <is>
          <t>REN col inc</t>
        </is>
      </c>
      <c r="G84" s="6" t="inlineStr">
        <is>
          <t>REN target</t>
        </is>
      </c>
      <c r="H84" s="6" t="inlineStr">
        <is>
          <t>RWR target</t>
        </is>
      </c>
      <c r="I84" s="6" t="inlineStr">
        <is>
          <t>Retention</t>
        </is>
      </c>
      <c r="J84" s="6" t="inlineStr">
        <is>
          <t>Total target</t>
        </is>
      </c>
      <c r="K84" s="6" t="inlineStr">
        <is>
          <t>PAID after MIN</t>
        </is>
      </c>
      <c r="L84" s="6" t="inlineStr">
        <is>
          <t>Gates (NB/REN/RWR)</t>
        </is>
      </c>
      <c r="M84" s="6" t="inlineStr">
        <is>
          <t>Safe Net</t>
        </is>
      </c>
      <c r="N84" s="6" t="inlineStr">
        <is>
          <t>vs Current</t>
        </is>
      </c>
      <c r="O84" s="6" t="inlineStr">
        <is>
          <t>Current Bonus</t>
        </is>
      </c>
    </row>
    <row r="85">
      <c r="A85" s="12" t="inlineStr">
        <is>
          <t>January</t>
        </is>
      </c>
      <c r="B85" s="11" t="n">
        <v>133</v>
      </c>
      <c r="C85" s="11" t="n">
        <v>0</v>
      </c>
      <c r="D85" s="11" t="n">
        <v>133</v>
      </c>
      <c r="E85" s="11" t="n">
        <v>6</v>
      </c>
      <c r="F85" s="11" t="n">
        <v>0</v>
      </c>
      <c r="G85" s="11" t="n">
        <v>6</v>
      </c>
      <c r="H85" s="11" t="n">
        <v>70</v>
      </c>
      <c r="I85" s="11" t="n">
        <v>225</v>
      </c>
      <c r="J85" s="11" t="n">
        <v>434</v>
      </c>
      <c r="K85" s="20" t="n">
        <v>231</v>
      </c>
      <c r="L85" s="37" t="inlineStr">
        <is>
          <t>n/Y/n</t>
        </is>
      </c>
      <c r="M85" s="11" t="n">
        <v>897.5350923</v>
      </c>
      <c r="N85" s="11" t="n">
        <v>-259</v>
      </c>
      <c r="O85" s="11" t="n">
        <v>490</v>
      </c>
    </row>
    <row r="86">
      <c r="A86" s="12" t="inlineStr">
        <is>
          <t>February</t>
        </is>
      </c>
      <c r="B86" s="11" t="n">
        <v>115</v>
      </c>
      <c r="C86" s="11" t="n">
        <v>0</v>
      </c>
      <c r="D86" s="11" t="n">
        <v>115</v>
      </c>
      <c r="E86" s="11" t="n">
        <v>8</v>
      </c>
      <c r="F86" s="11" t="n">
        <v>0</v>
      </c>
      <c r="G86" s="11" t="n">
        <v>8</v>
      </c>
      <c r="H86" s="11" t="n">
        <v>104.5416111111111</v>
      </c>
      <c r="I86" s="11" t="n">
        <v>225</v>
      </c>
      <c r="J86" s="11" t="n">
        <v>452.5416111111111</v>
      </c>
      <c r="K86" s="20" t="n">
        <v>233</v>
      </c>
      <c r="L86" s="37" t="inlineStr">
        <is>
          <t>n/Y/n</t>
        </is>
      </c>
      <c r="M86" s="11" t="n">
        <v>1093.3395627</v>
      </c>
      <c r="N86" s="11" t="n">
        <v>-367</v>
      </c>
      <c r="O86" s="11" t="n">
        <v>600</v>
      </c>
    </row>
    <row r="87">
      <c r="A87" s="12" t="inlineStr">
        <is>
          <t>March</t>
        </is>
      </c>
      <c r="B87" s="11" t="n">
        <v>135</v>
      </c>
      <c r="C87" s="11" t="n">
        <v>16.74333333333333</v>
      </c>
      <c r="D87" s="11" t="n">
        <v>151.7433333333333</v>
      </c>
      <c r="E87" s="11" t="n">
        <v>0</v>
      </c>
      <c r="F87" s="11" t="n">
        <v>0</v>
      </c>
      <c r="G87" s="11" t="n">
        <v>0</v>
      </c>
      <c r="H87" s="11" t="n">
        <v>62.14077777777778</v>
      </c>
      <c r="I87" s="11" t="n">
        <v>225</v>
      </c>
      <c r="J87" s="11" t="n">
        <v>438.8841111111111</v>
      </c>
      <c r="K87" s="20" t="n">
        <v>225</v>
      </c>
      <c r="L87" s="37" t="inlineStr">
        <is>
          <t>n/Y/n</t>
        </is>
      </c>
      <c r="M87" s="11" t="n">
        <v>1076.8521995</v>
      </c>
      <c r="N87" s="11" t="n">
        <v>-265</v>
      </c>
      <c r="O87" s="11" t="n">
        <v>490</v>
      </c>
    </row>
    <row r="88">
      <c r="A88" s="12" t="inlineStr">
        <is>
          <t>April</t>
        </is>
      </c>
      <c r="B88" s="11" t="n">
        <v>161</v>
      </c>
      <c r="C88" s="11" t="n">
        <v>0</v>
      </c>
      <c r="D88" s="11" t="n">
        <v>161</v>
      </c>
      <c r="E88" s="11" t="n">
        <v>4</v>
      </c>
      <c r="F88" s="11" t="n">
        <v>0.7916666666666666</v>
      </c>
      <c r="G88" s="11" t="n">
        <v>4.791666666666667</v>
      </c>
      <c r="H88" s="11" t="n">
        <v>75.59195555555556</v>
      </c>
      <c r="I88" s="11" t="n">
        <v>225</v>
      </c>
      <c r="J88" s="11" t="n">
        <v>466.3836222222222</v>
      </c>
      <c r="K88" s="20" t="n">
        <v>229.7916666666667</v>
      </c>
      <c r="L88" s="37" t="inlineStr">
        <is>
          <t>n/Y/n</t>
        </is>
      </c>
      <c r="M88" s="11" t="n">
        <v>924.3805879000001</v>
      </c>
      <c r="N88" s="11" t="n">
        <v>-260.2083333333334</v>
      </c>
      <c r="O88" s="11" t="n">
        <v>490</v>
      </c>
    </row>
    <row r="89">
      <c r="A89" s="22" t="inlineStr">
        <is>
          <t>4-Month Total</t>
        </is>
      </c>
      <c r="B89" s="38" t="n"/>
      <c r="C89" s="38" t="n"/>
      <c r="D89" s="38" t="n"/>
      <c r="E89" s="38" t="n"/>
      <c r="F89" s="38" t="n"/>
      <c r="G89" s="38" t="n"/>
      <c r="H89" s="38" t="n"/>
      <c r="I89" s="23" t="n">
        <v>1791.809344444444</v>
      </c>
      <c r="J89" s="23" t="n">
        <v>918.7916666666666</v>
      </c>
      <c r="K89" s="38" t="n"/>
      <c r="L89" s="38" t="n"/>
      <c r="M89" s="38" t="n"/>
      <c r="N89" s="23" t="n">
        <v>-1151.208333333333</v>
      </c>
      <c r="O89" s="23" t="n">
        <v>2070</v>
      </c>
    </row>
    <row r="91">
      <c r="A91" s="39" t="inlineStr">
        <is>
          <t>PROPOSAL B - COVERAGE-BASED</t>
        </is>
      </c>
    </row>
    <row r="92">
      <c r="A92" s="6" t="inlineStr">
        <is>
          <t>Month</t>
        </is>
      </c>
      <c r="B92" s="6" t="inlineStr">
        <is>
          <t>NB Base ($10 x ct)</t>
        </is>
      </c>
      <c r="C92" s="6" t="inlineStr">
        <is>
          <t>NB Liab Add ($5 x 35%)</t>
        </is>
      </c>
      <c r="D92" s="6" t="inlineStr">
        <is>
          <t>NB Target (w/ kicker)</t>
        </is>
      </c>
      <c r="E92" s="6" t="inlineStr">
        <is>
          <t>REN Base ($6 x ct)</t>
        </is>
      </c>
      <c r="F92" s="6" t="inlineStr">
        <is>
          <t>REN Liab Add ($3 x 30%)</t>
        </is>
      </c>
      <c r="G92" s="6" t="inlineStr">
        <is>
          <t>REN Target (w/ kicker)</t>
        </is>
      </c>
      <c r="H92" s="6" t="inlineStr">
        <is>
          <t>RWR Target (w/ kicker)</t>
        </is>
      </c>
      <c r="I92" s="6" t="inlineStr">
        <is>
          <t>Total Target (no min)</t>
        </is>
      </c>
      <c r="J92" s="6" t="inlineStr">
        <is>
          <t>PAID after MIN</t>
        </is>
      </c>
      <c r="K92" s="6" t="inlineStr">
        <is>
          <t>Gates (NB/REN/RWR)</t>
        </is>
      </c>
      <c r="L92" s="6" t="inlineStr">
        <is>
          <t>Safe Net</t>
        </is>
      </c>
      <c r="M92" s="6" t="inlineStr">
        <is>
          <t>Bonus % SN</t>
        </is>
      </c>
      <c r="N92" s="6" t="inlineStr">
        <is>
          <t>vs Current</t>
        </is>
      </c>
      <c r="O92" s="6" t="inlineStr">
        <is>
          <t>Current Bonus</t>
        </is>
      </c>
    </row>
    <row r="93">
      <c r="A93" s="15" t="inlineStr">
        <is>
          <t>January</t>
        </is>
      </c>
      <c r="B93" s="14" t="n">
        <v>209</v>
      </c>
      <c r="C93" s="14" t="n">
        <v>39.9</v>
      </c>
      <c r="D93" s="14" t="n">
        <v>273.79</v>
      </c>
      <c r="E93" s="14" t="n">
        <v>7</v>
      </c>
      <c r="F93" s="14" t="n">
        <v>0.8999999999999999</v>
      </c>
      <c r="G93" s="14" t="n">
        <v>8.690000000000001</v>
      </c>
      <c r="H93" s="14" t="n">
        <v>77</v>
      </c>
      <c r="I93" s="14" t="n">
        <v>359.48</v>
      </c>
      <c r="J93" s="21" t="n">
        <v>8.690000000000001</v>
      </c>
      <c r="K93" s="37" t="inlineStr">
        <is>
          <t>n/Y/n</t>
        </is>
      </c>
      <c r="L93" s="14" t="n">
        <v>897.5350923</v>
      </c>
      <c r="M93" s="40" t="n">
        <v>0.4005191586200891</v>
      </c>
      <c r="N93" s="14" t="n">
        <v>-481.31</v>
      </c>
      <c r="O93" s="14" t="n">
        <v>490</v>
      </c>
    </row>
    <row r="94">
      <c r="A94" s="15" t="inlineStr">
        <is>
          <t>February</t>
        </is>
      </c>
      <c r="B94" s="14" t="n">
        <v>253</v>
      </c>
      <c r="C94" s="14" t="n">
        <v>48.3</v>
      </c>
      <c r="D94" s="14" t="n">
        <v>331.4300000000001</v>
      </c>
      <c r="E94" s="14" t="n">
        <v>14</v>
      </c>
      <c r="F94" s="14" t="n">
        <v>1.8</v>
      </c>
      <c r="G94" s="14" t="n">
        <v>17.38</v>
      </c>
      <c r="H94" s="14" t="n">
        <v>96.59999999999999</v>
      </c>
      <c r="I94" s="14" t="n">
        <v>445.4100000000001</v>
      </c>
      <c r="J94" s="21" t="n">
        <v>17.38</v>
      </c>
      <c r="K94" s="37" t="inlineStr">
        <is>
          <t>n/Y/n</t>
        </is>
      </c>
      <c r="L94" s="14" t="n">
        <v>1093.3395627</v>
      </c>
      <c r="M94" s="40" t="n">
        <v>0.4073848740093709</v>
      </c>
      <c r="N94" s="14" t="n">
        <v>-582.62</v>
      </c>
      <c r="O94" s="14" t="n">
        <v>600</v>
      </c>
    </row>
    <row r="95">
      <c r="A95" s="15" t="inlineStr">
        <is>
          <t>March</t>
        </is>
      </c>
      <c r="B95" s="14" t="n">
        <v>297</v>
      </c>
      <c r="C95" s="14" t="n">
        <v>56.7</v>
      </c>
      <c r="D95" s="14" t="n">
        <v>406.7549999999999</v>
      </c>
      <c r="E95" s="14" t="n">
        <v>0</v>
      </c>
      <c r="F95" s="14" t="n">
        <v>0</v>
      </c>
      <c r="G95" s="14" t="n">
        <v>0</v>
      </c>
      <c r="H95" s="14" t="n">
        <v>62.09999999999999</v>
      </c>
      <c r="I95" s="14" t="n">
        <v>468.8549999999999</v>
      </c>
      <c r="J95" s="21" t="n">
        <v>0</v>
      </c>
      <c r="K95" s="37" t="inlineStr">
        <is>
          <t>n/Y/n</t>
        </is>
      </c>
      <c r="L95" s="14" t="n">
        <v>1076.8521995</v>
      </c>
      <c r="M95" s="40" t="n">
        <v>0.4353940124909406</v>
      </c>
      <c r="N95" s="14" t="n">
        <v>-490</v>
      </c>
      <c r="O95" s="14" t="n">
        <v>490</v>
      </c>
    </row>
    <row r="96">
      <c r="A96" s="15" t="inlineStr">
        <is>
          <t>April</t>
        </is>
      </c>
      <c r="B96" s="14" t="n">
        <v>253</v>
      </c>
      <c r="C96" s="14" t="n">
        <v>48.3</v>
      </c>
      <c r="D96" s="14" t="n">
        <v>331.4300000000001</v>
      </c>
      <c r="E96" s="14" t="n">
        <v>7</v>
      </c>
      <c r="F96" s="14" t="n">
        <v>0.8999999999999999</v>
      </c>
      <c r="G96" s="14" t="n">
        <v>9.875</v>
      </c>
      <c r="H96" s="14" t="n">
        <v>71.3</v>
      </c>
      <c r="I96" s="14" t="n">
        <v>412.6050000000001</v>
      </c>
      <c r="J96" s="21" t="n">
        <v>9.875</v>
      </c>
      <c r="K96" s="37" t="inlineStr">
        <is>
          <t>n/Y/n</t>
        </is>
      </c>
      <c r="L96" s="14" t="n">
        <v>924.3805879000001</v>
      </c>
      <c r="M96" s="40" t="n">
        <v>0.4463583565048164</v>
      </c>
      <c r="N96" s="14" t="n">
        <v>-480.125</v>
      </c>
      <c r="O96" s="14" t="n">
        <v>490</v>
      </c>
    </row>
    <row r="97">
      <c r="A97" s="22" t="inlineStr">
        <is>
          <t>4-Month Total</t>
        </is>
      </c>
      <c r="B97" s="38" t="n"/>
      <c r="C97" s="38" t="n"/>
      <c r="D97" s="38" t="n"/>
      <c r="E97" s="38" t="n"/>
      <c r="F97" s="38" t="n"/>
      <c r="G97" s="38" t="n"/>
      <c r="H97" s="38" t="n"/>
      <c r="I97" s="23" t="n">
        <v>1686.35</v>
      </c>
      <c r="J97" s="23" t="n">
        <v>35.94500000000001</v>
      </c>
      <c r="K97" s="38" t="n"/>
      <c r="L97" s="38" t="n"/>
      <c r="M97" s="38" t="n"/>
      <c r="N97" s="23" t="n">
        <v>-2034.055</v>
      </c>
      <c r="O97" s="23" t="n">
        <v>2070</v>
      </c>
    </row>
    <row r="100" ht="22" customHeight="1">
      <c r="A100" s="5" t="inlineStr">
        <is>
          <t>Thalia Rojas</t>
        </is>
      </c>
    </row>
    <row r="101">
      <c r="A101" s="6" t="inlineStr">
        <is>
          <t>Month</t>
        </is>
      </c>
      <c r="B101" s="6" t="inlineStr">
        <is>
          <t>NB Count</t>
        </is>
      </c>
      <c r="C101" s="6" t="inlineStr">
        <is>
          <t>NB Premium</t>
        </is>
      </c>
      <c r="D101" s="6" t="inlineStr">
        <is>
          <t>NB Collected</t>
        </is>
      </c>
      <c r="E101" s="6" t="inlineStr">
        <is>
          <t>NB Coll %</t>
        </is>
      </c>
      <c r="F101" s="6" t="inlineStr">
        <is>
          <t>RWR Count</t>
        </is>
      </c>
      <c r="G101" s="6" t="inlineStr">
        <is>
          <t>RWR Premium</t>
        </is>
      </c>
      <c r="H101" s="6" t="inlineStr">
        <is>
          <t>RWR Collected</t>
        </is>
      </c>
      <c r="I101" s="6" t="inlineStr">
        <is>
          <t>RWR Coll %</t>
        </is>
      </c>
      <c r="J101" s="6" t="inlineStr">
        <is>
          <t>REN Count</t>
        </is>
      </c>
      <c r="K101" s="6" t="inlineStr">
        <is>
          <t>REN Premium</t>
        </is>
      </c>
      <c r="L101" s="6" t="inlineStr">
        <is>
          <t>REN Collected</t>
        </is>
      </c>
      <c r="M101" s="6" t="inlineStr">
        <is>
          <t>REN Coll %</t>
        </is>
      </c>
      <c r="N101" s="6" t="inlineStr">
        <is>
          <t>Avg NB Prem</t>
        </is>
      </c>
      <c r="O101" s="6" t="inlineStr">
        <is>
          <t>Avg REN Prem</t>
        </is>
      </c>
      <c r="P101" s="6" t="inlineStr">
        <is>
          <t>Total Collected</t>
        </is>
      </c>
      <c r="Q101" s="6" t="inlineStr">
        <is>
          <t>Safe Net</t>
        </is>
      </c>
      <c r="R101" s="6" t="inlineStr">
        <is>
          <t>Cap</t>
        </is>
      </c>
    </row>
    <row r="102">
      <c r="A102" s="17" t="inlineStr">
        <is>
          <t>January</t>
        </is>
      </c>
      <c r="B102" s="18" t="n">
        <v>10</v>
      </c>
      <c r="C102" s="19" t="n">
        <v>15503.9</v>
      </c>
      <c r="D102" s="19" t="n">
        <v>2238.28</v>
      </c>
      <c r="E102" s="35" t="n">
        <v>0.1443688362283039</v>
      </c>
      <c r="F102" s="18" t="n">
        <v>28</v>
      </c>
      <c r="G102" s="19" t="n">
        <v>33083.93</v>
      </c>
      <c r="H102" s="19" t="n">
        <v>6461.48</v>
      </c>
      <c r="I102" s="35" t="n">
        <v>0.1953056967536807</v>
      </c>
      <c r="J102" s="18" t="n">
        <v>4</v>
      </c>
      <c r="K102" s="19" t="n">
        <v>3690</v>
      </c>
      <c r="L102" s="19" t="n">
        <v>642.04</v>
      </c>
      <c r="M102" s="35" t="n">
        <v>0.1739945799457994</v>
      </c>
      <c r="N102" s="19" t="n">
        <v>1550.39</v>
      </c>
      <c r="O102" s="19" t="n">
        <v>922.5</v>
      </c>
      <c r="P102" s="19" t="n">
        <v>9341.799999999999</v>
      </c>
      <c r="Q102" s="19" t="n">
        <v>568.2616939999999</v>
      </c>
      <c r="R102" s="19" t="n">
        <v>227.3046776</v>
      </c>
    </row>
    <row r="103">
      <c r="A103" s="17" t="inlineStr">
        <is>
          <t>February</t>
        </is>
      </c>
      <c r="B103" s="18" t="n">
        <v>14</v>
      </c>
      <c r="C103" s="19" t="n">
        <v>19414.25</v>
      </c>
      <c r="D103" s="19" t="n">
        <v>3640.91</v>
      </c>
      <c r="E103" s="35" t="n">
        <v>0.1875380197535315</v>
      </c>
      <c r="F103" s="18" t="n">
        <v>24</v>
      </c>
      <c r="G103" s="19" t="n">
        <v>28298.16</v>
      </c>
      <c r="H103" s="19" t="n">
        <v>5276.12</v>
      </c>
      <c r="I103" s="35" t="n">
        <v>0.186447458067945</v>
      </c>
      <c r="J103" s="18" t="n">
        <v>5</v>
      </c>
      <c r="K103" s="19" t="n">
        <v>7446</v>
      </c>
      <c r="L103" s="19" t="n">
        <v>3293.14</v>
      </c>
      <c r="M103" s="35" t="n">
        <v>0.442269674993285</v>
      </c>
      <c r="N103" s="19" t="n">
        <v>1386.732142857143</v>
      </c>
      <c r="O103" s="19" t="n">
        <v>1489.2</v>
      </c>
      <c r="P103" s="19" t="n">
        <v>12210.17</v>
      </c>
      <c r="Q103" s="19" t="n">
        <v>742.7446410999999</v>
      </c>
      <c r="R103" s="19" t="n">
        <v>297.0978564399999</v>
      </c>
    </row>
    <row r="104">
      <c r="A104" s="17" t="inlineStr">
        <is>
          <t>March</t>
        </is>
      </c>
      <c r="B104" s="18" t="n">
        <v>19</v>
      </c>
      <c r="C104" s="19" t="n">
        <v>17843.69</v>
      </c>
      <c r="D104" s="19" t="n">
        <v>4965.76</v>
      </c>
      <c r="E104" s="35" t="n">
        <v>0.2782922142225067</v>
      </c>
      <c r="F104" s="18" t="n">
        <v>19</v>
      </c>
      <c r="G104" s="19" t="n">
        <v>19840.85</v>
      </c>
      <c r="H104" s="19" t="n">
        <v>3981.64</v>
      </c>
      <c r="I104" s="35" t="n">
        <v>0.2006789023655741</v>
      </c>
      <c r="J104" s="18" t="n">
        <v>6</v>
      </c>
      <c r="K104" s="19" t="n">
        <v>5643.9</v>
      </c>
      <c r="L104" s="19" t="n">
        <v>1575.86</v>
      </c>
      <c r="M104" s="35" t="n">
        <v>0.2792147274048087</v>
      </c>
      <c r="N104" s="19" t="n">
        <v>939.1415789473683</v>
      </c>
      <c r="O104" s="19" t="n">
        <v>940.65</v>
      </c>
      <c r="P104" s="19" t="n">
        <v>10523.26</v>
      </c>
      <c r="Q104" s="19" t="n">
        <v>640.1299058</v>
      </c>
      <c r="R104" s="19" t="n">
        <v>256.05196232</v>
      </c>
    </row>
    <row r="105">
      <c r="A105" s="17" t="inlineStr">
        <is>
          <t>April</t>
        </is>
      </c>
      <c r="B105" s="18" t="n">
        <v>9</v>
      </c>
      <c r="C105" s="19" t="n">
        <v>14099</v>
      </c>
      <c r="D105" s="19" t="n">
        <v>3941.94</v>
      </c>
      <c r="E105" s="35" t="n">
        <v>0.2795900418469395</v>
      </c>
      <c r="F105" s="18" t="n">
        <v>29</v>
      </c>
      <c r="G105" s="19" t="n">
        <v>39794.4</v>
      </c>
      <c r="H105" s="19" t="n">
        <v>7674.9</v>
      </c>
      <c r="I105" s="35" t="n">
        <v>0.1928638200349798</v>
      </c>
      <c r="J105" s="18" t="n">
        <v>3</v>
      </c>
      <c r="K105" s="19" t="n">
        <v>3617</v>
      </c>
      <c r="L105" s="19" t="n">
        <v>3096.58</v>
      </c>
      <c r="M105" s="35" t="n">
        <v>0.8561183301078241</v>
      </c>
      <c r="N105" s="19" t="n">
        <v>1566.555555555556</v>
      </c>
      <c r="O105" s="19" t="n">
        <v>1205.666666666667</v>
      </c>
      <c r="P105" s="19" t="n">
        <v>14713.42</v>
      </c>
      <c r="Q105" s="19" t="n">
        <v>895.0173386000001</v>
      </c>
      <c r="R105" s="19" t="n">
        <v>358.0069354400001</v>
      </c>
    </row>
    <row r="107">
      <c r="A107" s="36" t="inlineStr">
        <is>
          <t>PROPOSAL A - PREMIUM-BASED</t>
        </is>
      </c>
    </row>
    <row r="108">
      <c r="A108" s="6" t="inlineStr">
        <is>
          <t>Month</t>
        </is>
      </c>
      <c r="B108" s="6" t="inlineStr">
        <is>
          <t>NB base</t>
        </is>
      </c>
      <c r="C108" s="6" t="inlineStr">
        <is>
          <t>NB col inc</t>
        </is>
      </c>
      <c r="D108" s="6" t="inlineStr">
        <is>
          <t>NB target</t>
        </is>
      </c>
      <c r="E108" s="6" t="inlineStr">
        <is>
          <t>REN base</t>
        </is>
      </c>
      <c r="F108" s="6" t="inlineStr">
        <is>
          <t>REN col inc</t>
        </is>
      </c>
      <c r="G108" s="6" t="inlineStr">
        <is>
          <t>REN target</t>
        </is>
      </c>
      <c r="H108" s="6" t="inlineStr">
        <is>
          <t>RWR target</t>
        </is>
      </c>
      <c r="I108" s="6" t="inlineStr">
        <is>
          <t>Retention</t>
        </is>
      </c>
      <c r="J108" s="6" t="inlineStr">
        <is>
          <t>Total target</t>
        </is>
      </c>
      <c r="K108" s="6" t="inlineStr">
        <is>
          <t>PAID after MIN</t>
        </is>
      </c>
      <c r="L108" s="6" t="inlineStr">
        <is>
          <t>Gates (NB/REN/RWR)</t>
        </is>
      </c>
      <c r="M108" s="6" t="inlineStr">
        <is>
          <t>Safe Net</t>
        </is>
      </c>
      <c r="N108" s="6" t="inlineStr">
        <is>
          <t>vs Current</t>
        </is>
      </c>
      <c r="O108" s="6" t="inlineStr">
        <is>
          <t>Current Bonus</t>
        </is>
      </c>
    </row>
    <row r="109">
      <c r="A109" s="12" t="inlineStr">
        <is>
          <t>January</t>
        </is>
      </c>
      <c r="B109" s="11" t="n">
        <v>70</v>
      </c>
      <c r="C109" s="11" t="n">
        <v>0</v>
      </c>
      <c r="D109" s="11" t="n">
        <v>70</v>
      </c>
      <c r="E109" s="11" t="n">
        <v>16</v>
      </c>
      <c r="F109" s="11" t="n">
        <v>0</v>
      </c>
      <c r="G109" s="11" t="n">
        <v>16</v>
      </c>
      <c r="H109" s="11" t="n">
        <v>56</v>
      </c>
      <c r="I109" s="11" t="n">
        <v>225</v>
      </c>
      <c r="J109" s="11" t="n">
        <v>367</v>
      </c>
      <c r="K109" s="20" t="n">
        <v>241</v>
      </c>
      <c r="L109" s="37" t="inlineStr">
        <is>
          <t>n/Y/n</t>
        </is>
      </c>
      <c r="M109" s="11" t="n">
        <v>568.2616939999999</v>
      </c>
      <c r="N109" s="11" t="n">
        <v>-109</v>
      </c>
      <c r="O109" s="11" t="n">
        <v>350</v>
      </c>
    </row>
    <row r="110">
      <c r="A110" s="12" t="inlineStr">
        <is>
          <t>February</t>
        </is>
      </c>
      <c r="B110" s="11" t="n">
        <v>98</v>
      </c>
      <c r="C110" s="11" t="n">
        <v>0</v>
      </c>
      <c r="D110" s="11" t="n">
        <v>98</v>
      </c>
      <c r="E110" s="11" t="n">
        <v>30</v>
      </c>
      <c r="F110" s="11" t="n">
        <v>4.94</v>
      </c>
      <c r="G110" s="11" t="n">
        <v>34.94</v>
      </c>
      <c r="H110" s="11" t="n">
        <v>48</v>
      </c>
      <c r="I110" s="11" t="n">
        <v>225</v>
      </c>
      <c r="J110" s="11" t="n">
        <v>405.94</v>
      </c>
      <c r="K110" s="20" t="n">
        <v>259.94</v>
      </c>
      <c r="L110" s="37" t="inlineStr">
        <is>
          <t>n/Y/n</t>
        </is>
      </c>
      <c r="M110" s="11" t="n">
        <v>742.7446410999999</v>
      </c>
      <c r="N110" s="11" t="n">
        <v>-90.06</v>
      </c>
      <c r="O110" s="11" t="n">
        <v>350</v>
      </c>
    </row>
    <row r="111">
      <c r="A111" s="12" t="inlineStr">
        <is>
          <t>March</t>
        </is>
      </c>
      <c r="B111" s="11" t="n">
        <v>95</v>
      </c>
      <c r="C111" s="11" t="n">
        <v>7.159655555555553</v>
      </c>
      <c r="D111" s="11" t="n">
        <v>102.1596555555556</v>
      </c>
      <c r="E111" s="11" t="n">
        <v>24</v>
      </c>
      <c r="F111" s="11" t="n">
        <v>2.271</v>
      </c>
      <c r="G111" s="11" t="n">
        <v>26.271</v>
      </c>
      <c r="H111" s="11" t="n">
        <v>38</v>
      </c>
      <c r="I111" s="11" t="n">
        <v>225</v>
      </c>
      <c r="J111" s="11" t="n">
        <v>391.4306555555556</v>
      </c>
      <c r="K111" s="20" t="n">
        <v>251.271</v>
      </c>
      <c r="L111" s="37" t="inlineStr">
        <is>
          <t>n/Y/n</t>
        </is>
      </c>
      <c r="M111" s="11" t="n">
        <v>640.1299058</v>
      </c>
      <c r="N111" s="11" t="n">
        <v>-98.72899999999998</v>
      </c>
      <c r="O111" s="11" t="n">
        <v>350</v>
      </c>
    </row>
    <row r="112">
      <c r="A112" s="12" t="inlineStr">
        <is>
          <t>April</t>
        </is>
      </c>
      <c r="B112" s="11" t="n">
        <v>63</v>
      </c>
      <c r="C112" s="11" t="n">
        <v>9.665555555555557</v>
      </c>
      <c r="D112" s="11" t="n">
        <v>72.66555555555556</v>
      </c>
      <c r="E112" s="11" t="n">
        <v>18</v>
      </c>
      <c r="F112" s="11" t="n">
        <v>3.028333333333334</v>
      </c>
      <c r="G112" s="11" t="n">
        <v>21.02833333333333</v>
      </c>
      <c r="H112" s="11" t="n">
        <v>87</v>
      </c>
      <c r="I112" s="11" t="n">
        <v>225</v>
      </c>
      <c r="J112" s="11" t="n">
        <v>405.6938888888889</v>
      </c>
      <c r="K112" s="20" t="n">
        <v>246.0283333333333</v>
      </c>
      <c r="L112" s="37" t="inlineStr">
        <is>
          <t>n/Y/n</t>
        </is>
      </c>
      <c r="M112" s="11" t="n">
        <v>895.0173386000001</v>
      </c>
      <c r="N112" s="11" t="n">
        <v>-103.9716666666667</v>
      </c>
      <c r="O112" s="11" t="n">
        <v>350</v>
      </c>
    </row>
    <row r="113">
      <c r="A113" s="22" t="inlineStr">
        <is>
          <t>4-Month Total</t>
        </is>
      </c>
      <c r="B113" s="38" t="n"/>
      <c r="C113" s="38" t="n"/>
      <c r="D113" s="38" t="n"/>
      <c r="E113" s="38" t="n"/>
      <c r="F113" s="38" t="n"/>
      <c r="G113" s="38" t="n"/>
      <c r="H113" s="38" t="n"/>
      <c r="I113" s="23" t="n">
        <v>1570.064544444444</v>
      </c>
      <c r="J113" s="23" t="n">
        <v>998.2393333333333</v>
      </c>
      <c r="K113" s="38" t="n"/>
      <c r="L113" s="38" t="n"/>
      <c r="M113" s="38" t="n"/>
      <c r="N113" s="23" t="n">
        <v>-401.7606666666667</v>
      </c>
      <c r="O113" s="23" t="n">
        <v>1400</v>
      </c>
    </row>
    <row r="115">
      <c r="A115" s="39" t="inlineStr">
        <is>
          <t>PROPOSAL B - COVERAGE-BASED</t>
        </is>
      </c>
    </row>
    <row r="116">
      <c r="A116" s="6" t="inlineStr">
        <is>
          <t>Month</t>
        </is>
      </c>
      <c r="B116" s="6" t="inlineStr">
        <is>
          <t>NB Base ($10 x ct)</t>
        </is>
      </c>
      <c r="C116" s="6" t="inlineStr">
        <is>
          <t>NB Liab Add ($5 x 35%)</t>
        </is>
      </c>
      <c r="D116" s="6" t="inlineStr">
        <is>
          <t>NB Target (w/ kicker)</t>
        </is>
      </c>
      <c r="E116" s="6" t="inlineStr">
        <is>
          <t>REN Base ($6 x ct)</t>
        </is>
      </c>
      <c r="F116" s="6" t="inlineStr">
        <is>
          <t>REN Liab Add ($3 x 30%)</t>
        </is>
      </c>
      <c r="G116" s="6" t="inlineStr">
        <is>
          <t>REN Target (w/ kicker)</t>
        </is>
      </c>
      <c r="H116" s="6" t="inlineStr">
        <is>
          <t>RWR Target (w/ kicker)</t>
        </is>
      </c>
      <c r="I116" s="6" t="inlineStr">
        <is>
          <t>Total Target (no min)</t>
        </is>
      </c>
      <c r="J116" s="6" t="inlineStr">
        <is>
          <t>PAID after MIN</t>
        </is>
      </c>
      <c r="K116" s="6" t="inlineStr">
        <is>
          <t>Gates (NB/REN/RWR)</t>
        </is>
      </c>
      <c r="L116" s="6" t="inlineStr">
        <is>
          <t>Safe Net</t>
        </is>
      </c>
      <c r="M116" s="6" t="inlineStr">
        <is>
          <t>Bonus % SN</t>
        </is>
      </c>
      <c r="N116" s="6" t="inlineStr">
        <is>
          <t>vs Current</t>
        </is>
      </c>
      <c r="O116" s="6" t="inlineStr">
        <is>
          <t>Current Bonus</t>
        </is>
      </c>
    </row>
    <row r="117">
      <c r="A117" s="15" t="inlineStr">
        <is>
          <t>January</t>
        </is>
      </c>
      <c r="B117" s="14" t="n">
        <v>110</v>
      </c>
      <c r="C117" s="14" t="n">
        <v>21</v>
      </c>
      <c r="D117" s="14" t="n">
        <v>131</v>
      </c>
      <c r="E117" s="14" t="n">
        <v>28</v>
      </c>
      <c r="F117" s="14" t="n">
        <v>3.6</v>
      </c>
      <c r="G117" s="14" t="n">
        <v>34.76000000000001</v>
      </c>
      <c r="H117" s="14" t="n">
        <v>61.60000000000001</v>
      </c>
      <c r="I117" s="14" t="n">
        <v>227.36</v>
      </c>
      <c r="J117" s="21" t="n">
        <v>34.76000000000001</v>
      </c>
      <c r="K117" s="37" t="inlineStr">
        <is>
          <t>n/Y/n</t>
        </is>
      </c>
      <c r="L117" s="14" t="n">
        <v>568.2616939999999</v>
      </c>
      <c r="M117" s="40" t="n">
        <v>0.4000973537378714</v>
      </c>
      <c r="N117" s="14" t="n">
        <v>-315.24</v>
      </c>
      <c r="O117" s="14" t="n">
        <v>350</v>
      </c>
    </row>
    <row r="118">
      <c r="A118" s="15" t="inlineStr">
        <is>
          <t>February</t>
        </is>
      </c>
      <c r="B118" s="14" t="n">
        <v>154</v>
      </c>
      <c r="C118" s="14" t="n">
        <v>29.4</v>
      </c>
      <c r="D118" s="14" t="n">
        <v>201.74</v>
      </c>
      <c r="E118" s="14" t="n">
        <v>35</v>
      </c>
      <c r="F118" s="14" t="n">
        <v>4.5</v>
      </c>
      <c r="G118" s="14" t="n">
        <v>45.425</v>
      </c>
      <c r="H118" s="14" t="n">
        <v>52.8</v>
      </c>
      <c r="I118" s="14" t="n">
        <v>299.965</v>
      </c>
      <c r="J118" s="21" t="n">
        <v>45.425</v>
      </c>
      <c r="K118" s="37" t="inlineStr">
        <is>
          <t>n/Y/n</t>
        </is>
      </c>
      <c r="L118" s="14" t="n">
        <v>742.7446410999999</v>
      </c>
      <c r="M118" s="40" t="n">
        <v>0.4038602009376384</v>
      </c>
      <c r="N118" s="14" t="n">
        <v>-304.575</v>
      </c>
      <c r="O118" s="14" t="n">
        <v>350</v>
      </c>
    </row>
    <row r="119">
      <c r="A119" s="15" t="inlineStr">
        <is>
          <t>March</t>
        </is>
      </c>
      <c r="B119" s="14" t="n">
        <v>209</v>
      </c>
      <c r="C119" s="14" t="n">
        <v>39.9</v>
      </c>
      <c r="D119" s="14" t="n">
        <v>286.235</v>
      </c>
      <c r="E119" s="14" t="n">
        <v>42</v>
      </c>
      <c r="F119" s="14" t="n">
        <v>5.399999999999999</v>
      </c>
      <c r="G119" s="14" t="n">
        <v>54.50999999999999</v>
      </c>
      <c r="H119" s="14" t="n">
        <v>41.8</v>
      </c>
      <c r="I119" s="14" t="n">
        <v>382.545</v>
      </c>
      <c r="J119" s="21" t="n">
        <v>54.50999999999999</v>
      </c>
      <c r="K119" s="37" t="inlineStr">
        <is>
          <t>n/Y/n</t>
        </is>
      </c>
      <c r="L119" s="14" t="n">
        <v>640.1299058</v>
      </c>
      <c r="M119" s="40" t="n">
        <v>0.5976052618912028</v>
      </c>
      <c r="N119" s="14" t="n">
        <v>-295.49</v>
      </c>
      <c r="O119" s="14" t="n">
        <v>350</v>
      </c>
    </row>
    <row r="120">
      <c r="A120" s="15" t="inlineStr">
        <is>
          <t>April</t>
        </is>
      </c>
      <c r="B120" s="14" t="n">
        <v>99</v>
      </c>
      <c r="C120" s="14" t="n">
        <v>18.9</v>
      </c>
      <c r="D120" s="14" t="n">
        <v>135.585</v>
      </c>
      <c r="E120" s="14" t="n">
        <v>21</v>
      </c>
      <c r="F120" s="14" t="n">
        <v>2.7</v>
      </c>
      <c r="G120" s="14" t="n">
        <v>28.44</v>
      </c>
      <c r="H120" s="14" t="n">
        <v>63.8</v>
      </c>
      <c r="I120" s="14" t="n">
        <v>227.825</v>
      </c>
      <c r="J120" s="21" t="n">
        <v>28.44</v>
      </c>
      <c r="K120" s="37" t="inlineStr">
        <is>
          <t>n/Y/n</t>
        </is>
      </c>
      <c r="L120" s="14" t="n">
        <v>895.0173386000001</v>
      </c>
      <c r="M120" s="40" t="n">
        <v>0.254548141331393</v>
      </c>
      <c r="N120" s="14" t="n">
        <v>-321.56</v>
      </c>
      <c r="O120" s="14" t="n">
        <v>350</v>
      </c>
    </row>
    <row r="121">
      <c r="A121" s="22" t="inlineStr">
        <is>
          <t>4-Month Total</t>
        </is>
      </c>
      <c r="B121" s="38" t="n"/>
      <c r="C121" s="38" t="n"/>
      <c r="D121" s="38" t="n"/>
      <c r="E121" s="38" t="n"/>
      <c r="F121" s="38" t="n"/>
      <c r="G121" s="38" t="n"/>
      <c r="H121" s="38" t="n"/>
      <c r="I121" s="23" t="n">
        <v>1137.695</v>
      </c>
      <c r="J121" s="23" t="n">
        <v>163.135</v>
      </c>
      <c r="K121" s="38" t="n"/>
      <c r="L121" s="38" t="n"/>
      <c r="M121" s="38" t="n"/>
      <c r="N121" s="23" t="n">
        <v>-1236.865</v>
      </c>
      <c r="O121" s="23" t="n">
        <v>1400</v>
      </c>
    </row>
    <row r="124" ht="22" customHeight="1">
      <c r="A124" s="5" t="inlineStr">
        <is>
          <t>Monica Valdes</t>
        </is>
      </c>
    </row>
    <row r="125">
      <c r="A125" s="6" t="inlineStr">
        <is>
          <t>Month</t>
        </is>
      </c>
      <c r="B125" s="6" t="inlineStr">
        <is>
          <t>NB Count</t>
        </is>
      </c>
      <c r="C125" s="6" t="inlineStr">
        <is>
          <t>NB Premium</t>
        </is>
      </c>
      <c r="D125" s="6" t="inlineStr">
        <is>
          <t>NB Collected</t>
        </is>
      </c>
      <c r="E125" s="6" t="inlineStr">
        <is>
          <t>NB Coll %</t>
        </is>
      </c>
      <c r="F125" s="6" t="inlineStr">
        <is>
          <t>RWR Count</t>
        </is>
      </c>
      <c r="G125" s="6" t="inlineStr">
        <is>
          <t>RWR Premium</t>
        </is>
      </c>
      <c r="H125" s="6" t="inlineStr">
        <is>
          <t>RWR Collected</t>
        </is>
      </c>
      <c r="I125" s="6" t="inlineStr">
        <is>
          <t>RWR Coll %</t>
        </is>
      </c>
      <c r="J125" s="6" t="inlineStr">
        <is>
          <t>REN Count</t>
        </is>
      </c>
      <c r="K125" s="6" t="inlineStr">
        <is>
          <t>REN Premium</t>
        </is>
      </c>
      <c r="L125" s="6" t="inlineStr">
        <is>
          <t>REN Collected</t>
        </is>
      </c>
      <c r="M125" s="6" t="inlineStr">
        <is>
          <t>REN Coll %</t>
        </is>
      </c>
      <c r="N125" s="6" t="inlineStr">
        <is>
          <t>Avg NB Prem</t>
        </is>
      </c>
      <c r="O125" s="6" t="inlineStr">
        <is>
          <t>Avg REN Prem</t>
        </is>
      </c>
      <c r="P125" s="6" t="inlineStr">
        <is>
          <t>Total Collected</t>
        </is>
      </c>
      <c r="Q125" s="6" t="inlineStr">
        <is>
          <t>Safe Net</t>
        </is>
      </c>
      <c r="R125" s="6" t="inlineStr">
        <is>
          <t>Cap</t>
        </is>
      </c>
    </row>
    <row r="126">
      <c r="A126" s="17" t="inlineStr">
        <is>
          <t>January</t>
        </is>
      </c>
      <c r="B126" s="18" t="n">
        <v>23</v>
      </c>
      <c r="C126" s="19" t="n">
        <v>28605.29</v>
      </c>
      <c r="D126" s="19" t="n">
        <v>6551.7</v>
      </c>
      <c r="E126" s="35" t="n">
        <v>0.2290380555484667</v>
      </c>
      <c r="F126" s="18" t="n">
        <v>37</v>
      </c>
      <c r="G126" s="19" t="n">
        <v>48612.96</v>
      </c>
      <c r="H126" s="19" t="n">
        <v>8203.879999999999</v>
      </c>
      <c r="I126" s="35" t="n">
        <v>0.1687591127962584</v>
      </c>
      <c r="J126" s="18" t="n">
        <v>6</v>
      </c>
      <c r="K126" s="19" t="n">
        <v>6502.91</v>
      </c>
      <c r="L126" s="19" t="n">
        <v>1439.3</v>
      </c>
      <c r="M126" s="35" t="n">
        <v>0.2213316807398534</v>
      </c>
      <c r="N126" s="19" t="n">
        <v>1243.708260869565</v>
      </c>
      <c r="O126" s="19" t="n">
        <v>1083.818333333333</v>
      </c>
      <c r="P126" s="19" t="n">
        <v>16194.88</v>
      </c>
      <c r="Q126" s="19" t="n">
        <v>985.1345503999999</v>
      </c>
      <c r="R126" s="19" t="n">
        <v>394.05382016</v>
      </c>
    </row>
    <row r="127">
      <c r="A127" s="17" t="inlineStr">
        <is>
          <t>February</t>
        </is>
      </c>
      <c r="B127" s="18" t="n">
        <v>21</v>
      </c>
      <c r="C127" s="19" t="n">
        <v>31516.95</v>
      </c>
      <c r="D127" s="19" t="n">
        <v>6512.87</v>
      </c>
      <c r="E127" s="35" t="n">
        <v>0.206646582235908</v>
      </c>
      <c r="F127" s="18" t="n">
        <v>29</v>
      </c>
      <c r="G127" s="19" t="n">
        <v>47228.18</v>
      </c>
      <c r="H127" s="19" t="n">
        <v>7155.23</v>
      </c>
      <c r="I127" s="35" t="n">
        <v>0.1515034032647457</v>
      </c>
      <c r="J127" s="18" t="n">
        <v>2</v>
      </c>
      <c r="K127" s="19" t="n">
        <v>3092</v>
      </c>
      <c r="L127" s="19" t="n">
        <v>272.87</v>
      </c>
      <c r="M127" s="35" t="n">
        <v>0.0882503234152652</v>
      </c>
      <c r="N127" s="19" t="n">
        <v>1500.807142857143</v>
      </c>
      <c r="O127" s="19" t="n">
        <v>1546</v>
      </c>
      <c r="P127" s="19" t="n">
        <v>13940.97</v>
      </c>
      <c r="Q127" s="19" t="n">
        <v>848.0292051</v>
      </c>
      <c r="R127" s="19" t="n">
        <v>339.21168204</v>
      </c>
    </row>
    <row r="128">
      <c r="A128" s="17" t="inlineStr">
        <is>
          <t>March</t>
        </is>
      </c>
      <c r="B128" s="18" t="n">
        <v>36</v>
      </c>
      <c r="C128" s="19" t="n">
        <v>68546.22</v>
      </c>
      <c r="D128" s="19" t="n">
        <v>17019.79</v>
      </c>
      <c r="E128" s="35" t="n">
        <v>0.2482965508528406</v>
      </c>
      <c r="F128" s="18" t="n">
        <v>28</v>
      </c>
      <c r="G128" s="19" t="n">
        <v>39254.65</v>
      </c>
      <c r="H128" s="19" t="n">
        <v>5300.53</v>
      </c>
      <c r="I128" s="35" t="n">
        <v>0.135029353210384</v>
      </c>
      <c r="J128" s="18" t="n">
        <v>0</v>
      </c>
      <c r="K128" s="19" t="n">
        <v>0</v>
      </c>
      <c r="L128" s="19" t="n">
        <v>0</v>
      </c>
      <c r="M128" s="35" t="n">
        <v>0</v>
      </c>
      <c r="N128" s="19" t="n">
        <v>1904.061666666667</v>
      </c>
      <c r="O128" s="19" t="n">
        <v>0</v>
      </c>
      <c r="P128" s="19" t="n">
        <v>22320.32</v>
      </c>
      <c r="Q128" s="19" t="n">
        <v>1357.7450656</v>
      </c>
      <c r="R128" s="19" t="n">
        <v>543.0980262400001</v>
      </c>
    </row>
    <row r="129">
      <c r="A129" s="17" t="inlineStr">
        <is>
          <t>April</t>
        </is>
      </c>
      <c r="B129" s="18" t="n">
        <v>22</v>
      </c>
      <c r="C129" s="19" t="n">
        <v>29755.49</v>
      </c>
      <c r="D129" s="19" t="n">
        <v>6197.26</v>
      </c>
      <c r="E129" s="35" t="n">
        <v>0.2082728262918876</v>
      </c>
      <c r="F129" s="18" t="n">
        <v>22</v>
      </c>
      <c r="G129" s="19" t="n">
        <v>35279.9</v>
      </c>
      <c r="H129" s="19" t="n">
        <v>7305.79</v>
      </c>
      <c r="I129" s="35" t="n">
        <v>0.2070808023832267</v>
      </c>
      <c r="J129" s="18" t="n">
        <v>2</v>
      </c>
      <c r="K129" s="19" t="n">
        <v>2514</v>
      </c>
      <c r="L129" s="19" t="n">
        <v>291.12</v>
      </c>
      <c r="M129" s="35" t="n">
        <v>0.115799522673031</v>
      </c>
      <c r="N129" s="19" t="n">
        <v>1352.522272727273</v>
      </c>
      <c r="O129" s="19" t="n">
        <v>1257</v>
      </c>
      <c r="P129" s="19" t="n">
        <v>13794.17</v>
      </c>
      <c r="Q129" s="19" t="n">
        <v>839.0993611</v>
      </c>
      <c r="R129" s="19" t="n">
        <v>335.63974444</v>
      </c>
    </row>
    <row r="131">
      <c r="A131" s="36" t="inlineStr">
        <is>
          <t>PROPOSAL A - PREMIUM-BASED</t>
        </is>
      </c>
    </row>
    <row r="132">
      <c r="A132" s="6" t="inlineStr">
        <is>
          <t>Month</t>
        </is>
      </c>
      <c r="B132" s="6" t="inlineStr">
        <is>
          <t>NB base</t>
        </is>
      </c>
      <c r="C132" s="6" t="inlineStr">
        <is>
          <t>NB col inc</t>
        </is>
      </c>
      <c r="D132" s="6" t="inlineStr">
        <is>
          <t>NB target</t>
        </is>
      </c>
      <c r="E132" s="6" t="inlineStr">
        <is>
          <t>REN base</t>
        </is>
      </c>
      <c r="F132" s="6" t="inlineStr">
        <is>
          <t>REN col inc</t>
        </is>
      </c>
      <c r="G132" s="6" t="inlineStr">
        <is>
          <t>REN target</t>
        </is>
      </c>
      <c r="H132" s="6" t="inlineStr">
        <is>
          <t>RWR target</t>
        </is>
      </c>
      <c r="I132" s="6" t="inlineStr">
        <is>
          <t>Retention</t>
        </is>
      </c>
      <c r="J132" s="6" t="inlineStr">
        <is>
          <t>Total target</t>
        </is>
      </c>
      <c r="K132" s="6" t="inlineStr">
        <is>
          <t>PAID after MIN</t>
        </is>
      </c>
      <c r="L132" s="6" t="inlineStr">
        <is>
          <t>Gates (NB/REN/RWR)</t>
        </is>
      </c>
      <c r="M132" s="6" t="inlineStr">
        <is>
          <t>Safe Net</t>
        </is>
      </c>
      <c r="N132" s="6" t="inlineStr">
        <is>
          <t>vs Current</t>
        </is>
      </c>
      <c r="O132" s="6" t="inlineStr">
        <is>
          <t>Current Bonus</t>
        </is>
      </c>
    </row>
    <row r="133">
      <c r="A133" s="12" t="inlineStr">
        <is>
          <t>January</t>
        </is>
      </c>
      <c r="B133" s="11" t="n">
        <v>161</v>
      </c>
      <c r="C133" s="11" t="n">
        <v>0</v>
      </c>
      <c r="D133" s="11" t="n">
        <v>161</v>
      </c>
      <c r="E133" s="11" t="n">
        <v>24</v>
      </c>
      <c r="F133" s="11" t="n">
        <v>0</v>
      </c>
      <c r="G133" s="11" t="n">
        <v>24</v>
      </c>
      <c r="H133" s="11" t="n">
        <v>111</v>
      </c>
      <c r="I133" s="11" t="n">
        <v>225</v>
      </c>
      <c r="J133" s="11" t="n">
        <v>521</v>
      </c>
      <c r="K133" s="20" t="n">
        <v>249</v>
      </c>
      <c r="L133" s="37" t="inlineStr">
        <is>
          <t>n/Y/n</t>
        </is>
      </c>
      <c r="M133" s="11" t="n">
        <v>985.1345503999999</v>
      </c>
      <c r="N133" s="11" t="n">
        <v>-301</v>
      </c>
      <c r="O133" s="11" t="n">
        <v>550</v>
      </c>
    </row>
    <row r="134">
      <c r="A134" s="12" t="inlineStr">
        <is>
          <t>February</t>
        </is>
      </c>
      <c r="B134" s="11" t="n">
        <v>147</v>
      </c>
      <c r="C134" s="11" t="n">
        <v>0</v>
      </c>
      <c r="D134" s="11" t="n">
        <v>147</v>
      </c>
      <c r="E134" s="11" t="n">
        <v>12</v>
      </c>
      <c r="F134" s="11" t="n">
        <v>0</v>
      </c>
      <c r="G134" s="11" t="n">
        <v>12</v>
      </c>
      <c r="H134" s="11" t="n">
        <v>87</v>
      </c>
      <c r="I134" s="11" t="n">
        <v>225</v>
      </c>
      <c r="J134" s="11" t="n">
        <v>471</v>
      </c>
      <c r="K134" s="20" t="n">
        <v>237</v>
      </c>
      <c r="L134" s="37" t="inlineStr">
        <is>
          <t>n/Y/n</t>
        </is>
      </c>
      <c r="M134" s="11" t="n">
        <v>848.0292051</v>
      </c>
      <c r="N134" s="11" t="n">
        <v>-213</v>
      </c>
      <c r="O134" s="11" t="n">
        <v>450</v>
      </c>
    </row>
    <row r="135">
      <c r="A135" s="12" t="inlineStr">
        <is>
          <t>March</t>
        </is>
      </c>
      <c r="B135" s="11" t="n">
        <v>360</v>
      </c>
      <c r="C135" s="11" t="n">
        <v>0</v>
      </c>
      <c r="D135" s="11" t="n">
        <v>360</v>
      </c>
      <c r="E135" s="11" t="n">
        <v>0</v>
      </c>
      <c r="F135" s="11" t="n">
        <v>0</v>
      </c>
      <c r="G135" s="11" t="n">
        <v>0</v>
      </c>
      <c r="H135" s="11" t="n">
        <v>84</v>
      </c>
      <c r="I135" s="11" t="n">
        <v>225</v>
      </c>
      <c r="J135" s="11" t="n">
        <v>669</v>
      </c>
      <c r="K135" s="20" t="n">
        <v>669</v>
      </c>
      <c r="L135" s="27" t="inlineStr">
        <is>
          <t>Y/Y/Y</t>
        </is>
      </c>
      <c r="M135" s="11" t="n">
        <v>1357.7450656</v>
      </c>
      <c r="N135" s="11" t="n">
        <v>79</v>
      </c>
      <c r="O135" s="11" t="n">
        <v>590</v>
      </c>
    </row>
    <row r="136">
      <c r="A136" s="12" t="inlineStr">
        <is>
          <t>April</t>
        </is>
      </c>
      <c r="B136" s="11" t="n">
        <v>154</v>
      </c>
      <c r="C136" s="11" t="n">
        <v>0</v>
      </c>
      <c r="D136" s="11" t="n">
        <v>154</v>
      </c>
      <c r="E136" s="11" t="n">
        <v>12</v>
      </c>
      <c r="F136" s="11" t="n">
        <v>0</v>
      </c>
      <c r="G136" s="11" t="n">
        <v>12</v>
      </c>
      <c r="H136" s="11" t="n">
        <v>66</v>
      </c>
      <c r="I136" s="11" t="n">
        <v>225</v>
      </c>
      <c r="J136" s="11" t="n">
        <v>457</v>
      </c>
      <c r="K136" s="20" t="n">
        <v>237</v>
      </c>
      <c r="L136" s="37" t="inlineStr">
        <is>
          <t>n/Y/n</t>
        </is>
      </c>
      <c r="M136" s="11" t="n">
        <v>839.0993611</v>
      </c>
      <c r="N136" s="11" t="n">
        <v>-113</v>
      </c>
      <c r="O136" s="11" t="n">
        <v>350</v>
      </c>
    </row>
    <row r="137">
      <c r="A137" s="22" t="inlineStr">
        <is>
          <t>4-Month Total</t>
        </is>
      </c>
      <c r="B137" s="38" t="n"/>
      <c r="C137" s="38" t="n"/>
      <c r="D137" s="38" t="n"/>
      <c r="E137" s="38" t="n"/>
      <c r="F137" s="38" t="n"/>
      <c r="G137" s="38" t="n"/>
      <c r="H137" s="38" t="n"/>
      <c r="I137" s="23" t="n">
        <v>2118</v>
      </c>
      <c r="J137" s="23" t="n">
        <v>1392</v>
      </c>
      <c r="K137" s="38" t="n"/>
      <c r="L137" s="38" t="n"/>
      <c r="M137" s="38" t="n"/>
      <c r="N137" s="23" t="n">
        <v>-548</v>
      </c>
      <c r="O137" s="23" t="n">
        <v>1940</v>
      </c>
    </row>
    <row r="139">
      <c r="A139" s="39" t="inlineStr">
        <is>
          <t>PROPOSAL B - COVERAGE-BASED</t>
        </is>
      </c>
    </row>
    <row r="140">
      <c r="A140" s="6" t="inlineStr">
        <is>
          <t>Month</t>
        </is>
      </c>
      <c r="B140" s="6" t="inlineStr">
        <is>
          <t>NB Base ($10 x ct)</t>
        </is>
      </c>
      <c r="C140" s="6" t="inlineStr">
        <is>
          <t>NB Liab Add ($5 x 35%)</t>
        </is>
      </c>
      <c r="D140" s="6" t="inlineStr">
        <is>
          <t>NB Target (w/ kicker)</t>
        </is>
      </c>
      <c r="E140" s="6" t="inlineStr">
        <is>
          <t>REN Base ($6 x ct)</t>
        </is>
      </c>
      <c r="F140" s="6" t="inlineStr">
        <is>
          <t>REN Liab Add ($3 x 30%)</t>
        </is>
      </c>
      <c r="G140" s="6" t="inlineStr">
        <is>
          <t>REN Target (w/ kicker)</t>
        </is>
      </c>
      <c r="H140" s="6" t="inlineStr">
        <is>
          <t>RWR Target (w/ kicker)</t>
        </is>
      </c>
      <c r="I140" s="6" t="inlineStr">
        <is>
          <t>Total Target (no min)</t>
        </is>
      </c>
      <c r="J140" s="6" t="inlineStr">
        <is>
          <t>PAID after MIN</t>
        </is>
      </c>
      <c r="K140" s="6" t="inlineStr">
        <is>
          <t>Gates (NB/REN/RWR)</t>
        </is>
      </c>
      <c r="L140" s="6" t="inlineStr">
        <is>
          <t>Safe Net</t>
        </is>
      </c>
      <c r="M140" s="6" t="inlineStr">
        <is>
          <t>Bonus % SN</t>
        </is>
      </c>
      <c r="N140" s="6" t="inlineStr">
        <is>
          <t>vs Current</t>
        </is>
      </c>
      <c r="O140" s="6" t="inlineStr">
        <is>
          <t>Current Bonus</t>
        </is>
      </c>
    </row>
    <row r="141">
      <c r="A141" s="15" t="inlineStr">
        <is>
          <t>January</t>
        </is>
      </c>
      <c r="B141" s="14" t="n">
        <v>253</v>
      </c>
      <c r="C141" s="14" t="n">
        <v>48.3</v>
      </c>
      <c r="D141" s="14" t="n">
        <v>331.4300000000001</v>
      </c>
      <c r="E141" s="14" t="n">
        <v>42</v>
      </c>
      <c r="F141" s="14" t="n">
        <v>5.399999999999999</v>
      </c>
      <c r="G141" s="14" t="n">
        <v>52.14</v>
      </c>
      <c r="H141" s="14" t="n">
        <v>81.40000000000001</v>
      </c>
      <c r="I141" s="14" t="n">
        <v>464.97</v>
      </c>
      <c r="J141" s="21" t="n">
        <v>52.14</v>
      </c>
      <c r="K141" s="37" t="inlineStr">
        <is>
          <t>n/Y/n</t>
        </is>
      </c>
      <c r="L141" s="14" t="n">
        <v>985.1345503999999</v>
      </c>
      <c r="M141" s="40" t="n">
        <v>0.4719862883818313</v>
      </c>
      <c r="N141" s="14" t="n">
        <v>-497.86</v>
      </c>
      <c r="O141" s="14" t="n">
        <v>550</v>
      </c>
    </row>
    <row r="142">
      <c r="A142" s="15" t="inlineStr">
        <is>
          <t>February</t>
        </is>
      </c>
      <c r="B142" s="14" t="n">
        <v>231</v>
      </c>
      <c r="C142" s="14" t="n">
        <v>44.09999999999999</v>
      </c>
      <c r="D142" s="14" t="n">
        <v>302.6100000000001</v>
      </c>
      <c r="E142" s="14" t="n">
        <v>14</v>
      </c>
      <c r="F142" s="14" t="n">
        <v>1.8</v>
      </c>
      <c r="G142" s="14" t="n">
        <v>15.8</v>
      </c>
      <c r="H142" s="14" t="n">
        <v>63.8</v>
      </c>
      <c r="I142" s="14" t="n">
        <v>382.2100000000001</v>
      </c>
      <c r="J142" s="21" t="n">
        <v>15.8</v>
      </c>
      <c r="K142" s="37" t="inlineStr">
        <is>
          <t>n/Y/n</t>
        </is>
      </c>
      <c r="L142" s="14" t="n">
        <v>848.0292051</v>
      </c>
      <c r="M142" s="40" t="n">
        <v>0.4507038173938004</v>
      </c>
      <c r="N142" s="14" t="n">
        <v>-434.2</v>
      </c>
      <c r="O142" s="14" t="n">
        <v>450</v>
      </c>
    </row>
    <row r="143">
      <c r="A143" s="15" t="inlineStr">
        <is>
          <t>March</t>
        </is>
      </c>
      <c r="B143" s="14" t="n">
        <v>396</v>
      </c>
      <c r="C143" s="14" t="n">
        <v>75.59999999999999</v>
      </c>
      <c r="D143" s="14" t="n">
        <v>518.7600000000001</v>
      </c>
      <c r="E143" s="14" t="n">
        <v>0</v>
      </c>
      <c r="F143" s="14" t="n">
        <v>0</v>
      </c>
      <c r="G143" s="14" t="n">
        <v>0</v>
      </c>
      <c r="H143" s="14" t="n">
        <v>56</v>
      </c>
      <c r="I143" s="14" t="n">
        <v>574.7600000000001</v>
      </c>
      <c r="J143" s="21" t="n">
        <v>574.7600000000001</v>
      </c>
      <c r="K143" s="27" t="inlineStr">
        <is>
          <t>Y/Y/Y</t>
        </is>
      </c>
      <c r="L143" s="14" t="n">
        <v>1357.7450656</v>
      </c>
      <c r="M143" s="40" t="n">
        <v>0.4233195277686451</v>
      </c>
      <c r="N143" s="14" t="n">
        <v>-15.2399999999999</v>
      </c>
      <c r="O143" s="14" t="n">
        <v>590</v>
      </c>
    </row>
    <row r="144">
      <c r="A144" s="15" t="inlineStr">
        <is>
          <t>April</t>
        </is>
      </c>
      <c r="B144" s="14" t="n">
        <v>242</v>
      </c>
      <c r="C144" s="14" t="n">
        <v>46.2</v>
      </c>
      <c r="D144" s="14" t="n">
        <v>317.02</v>
      </c>
      <c r="E144" s="14" t="n">
        <v>14</v>
      </c>
      <c r="F144" s="14" t="n">
        <v>1.8</v>
      </c>
      <c r="G144" s="14" t="n">
        <v>15.8</v>
      </c>
      <c r="H144" s="14" t="n">
        <v>48.40000000000001</v>
      </c>
      <c r="I144" s="14" t="n">
        <v>381.22</v>
      </c>
      <c r="J144" s="21" t="n">
        <v>15.8</v>
      </c>
      <c r="K144" s="37" t="inlineStr">
        <is>
          <t>n/Y/n</t>
        </is>
      </c>
      <c r="L144" s="14" t="n">
        <v>839.0993611</v>
      </c>
      <c r="M144" s="40" t="n">
        <v>0.454320450798875</v>
      </c>
      <c r="N144" s="14" t="n">
        <v>-334.2</v>
      </c>
      <c r="O144" s="14" t="n">
        <v>350</v>
      </c>
    </row>
    <row r="145">
      <c r="A145" s="22" t="inlineStr">
        <is>
          <t>4-Month Total</t>
        </is>
      </c>
      <c r="B145" s="38" t="n"/>
      <c r="C145" s="38" t="n"/>
      <c r="D145" s="38" t="n"/>
      <c r="E145" s="38" t="n"/>
      <c r="F145" s="38" t="n"/>
      <c r="G145" s="38" t="n"/>
      <c r="H145" s="38" t="n"/>
      <c r="I145" s="23" t="n">
        <v>1803.16</v>
      </c>
      <c r="J145" s="23" t="n">
        <v>658.5</v>
      </c>
      <c r="K145" s="38" t="n"/>
      <c r="L145" s="38" t="n"/>
      <c r="M145" s="38" t="n"/>
      <c r="N145" s="23" t="n">
        <v>-1281.5</v>
      </c>
      <c r="O145" s="23" t="n">
        <v>1940</v>
      </c>
    </row>
  </sheetData>
  <mergeCells count="20">
    <mergeCell ref="A124:R124"/>
    <mergeCell ref="A139:R139"/>
    <mergeCell ref="A2:R2"/>
    <mergeCell ref="A76:R76"/>
    <mergeCell ref="A91:R91"/>
    <mergeCell ref="A131:R131"/>
    <mergeCell ref="A35:R35"/>
    <mergeCell ref="A100:R100"/>
    <mergeCell ref="A4:R4"/>
    <mergeCell ref="A43:R43"/>
    <mergeCell ref="A19:R19"/>
    <mergeCell ref="A52:R52"/>
    <mergeCell ref="A28:R28"/>
    <mergeCell ref="A115:R115"/>
    <mergeCell ref="A67:R67"/>
    <mergeCell ref="A83:R83"/>
    <mergeCell ref="A59:R59"/>
    <mergeCell ref="A11:R11"/>
    <mergeCell ref="A107:R107"/>
    <mergeCell ref="A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45"/>
  <sheetViews>
    <sheetView workbookViewId="0">
      <selection activeCell="A1" sqref="A1"/>
    </sheetView>
  </sheetViews>
  <sheetFormatPr baseColWidth="8" defaultRowHeight="15"/>
  <cols>
    <col width="12" customWidth="1" min="1" max="1"/>
    <col width="13" customWidth="1" min="2" max="2"/>
    <col width="14" customWidth="1" min="3" max="3"/>
    <col width="14" customWidth="1" min="4" max="4"/>
    <col width="11" customWidth="1" min="5" max="5"/>
    <col width="13" customWidth="1" min="6" max="6"/>
    <col width="14" customWidth="1" min="7" max="7"/>
    <col width="14" customWidth="1" min="8" max="8"/>
    <col width="11" customWidth="1" min="9" max="9"/>
    <col width="13" customWidth="1" min="10" max="10"/>
    <col width="14" customWidth="1" min="11" max="11"/>
    <col width="14" customWidth="1" min="12" max="12"/>
    <col width="11" customWidth="1" min="13" max="13"/>
    <col width="13" customWidth="1" min="14" max="14"/>
    <col width="13" customWidth="1" min="15" max="15"/>
    <col width="15" customWidth="1" min="16" max="16"/>
    <col width="13" customWidth="1" min="17" max="17"/>
    <col width="13" customWidth="1" min="18" max="18"/>
  </cols>
  <sheetData>
    <row r="1">
      <c r="A1" s="1" t="inlineStr">
        <is>
          <t>Agent Examples - 50% RWR converted to REN</t>
        </is>
      </c>
    </row>
    <row r="2">
      <c r="A2" s="4" t="inlineStr">
        <is>
          <t>Same premiums, same collected $, but 50% of each agent's rewrites are reclassified as renewals. Shows future-state earnings.</t>
        </is>
      </c>
    </row>
    <row r="4" ht="22" customHeight="1">
      <c r="A4" s="5" t="inlineStr">
        <is>
          <t>Abel Guaina</t>
        </is>
      </c>
    </row>
    <row r="5">
      <c r="A5" s="6" t="inlineStr">
        <is>
          <t>Month</t>
        </is>
      </c>
      <c r="B5" s="6" t="inlineStr">
        <is>
          <t>NB Count</t>
        </is>
      </c>
      <c r="C5" s="6" t="inlineStr">
        <is>
          <t>NB Premium</t>
        </is>
      </c>
      <c r="D5" s="6" t="inlineStr">
        <is>
          <t>NB Collected</t>
        </is>
      </c>
      <c r="E5" s="6" t="inlineStr">
        <is>
          <t>NB Coll %</t>
        </is>
      </c>
      <c r="F5" s="6" t="inlineStr">
        <is>
          <t>RWR Count</t>
        </is>
      </c>
      <c r="G5" s="6" t="inlineStr">
        <is>
          <t>RWR Premium</t>
        </is>
      </c>
      <c r="H5" s="6" t="inlineStr">
        <is>
          <t>RWR Collected</t>
        </is>
      </c>
      <c r="I5" s="6" t="inlineStr">
        <is>
          <t>RWR Coll %</t>
        </is>
      </c>
      <c r="J5" s="6" t="inlineStr">
        <is>
          <t>REN Count</t>
        </is>
      </c>
      <c r="K5" s="6" t="inlineStr">
        <is>
          <t>REN Premium</t>
        </is>
      </c>
      <c r="L5" s="6" t="inlineStr">
        <is>
          <t>REN Collected</t>
        </is>
      </c>
      <c r="M5" s="6" t="inlineStr">
        <is>
          <t>REN Coll %</t>
        </is>
      </c>
      <c r="N5" s="6" t="inlineStr">
        <is>
          <t>Avg NB Prem</t>
        </is>
      </c>
      <c r="O5" s="6" t="inlineStr">
        <is>
          <t>Avg REN Prem</t>
        </is>
      </c>
      <c r="P5" s="6" t="inlineStr">
        <is>
          <t>Total Collected</t>
        </is>
      </c>
      <c r="Q5" s="6" t="inlineStr">
        <is>
          <t>Safe Net</t>
        </is>
      </c>
      <c r="R5" s="6" t="inlineStr">
        <is>
          <t>Cap</t>
        </is>
      </c>
    </row>
    <row r="6">
      <c r="A6" s="17" t="inlineStr">
        <is>
          <t>January</t>
        </is>
      </c>
      <c r="B6" s="18" t="n">
        <v>25</v>
      </c>
      <c r="C6" s="19" t="n">
        <v>38611.42</v>
      </c>
      <c r="D6" s="19" t="n">
        <v>4938.26</v>
      </c>
      <c r="E6" s="35" t="n">
        <v>0.1278963581240991</v>
      </c>
      <c r="F6" s="18" t="n">
        <v>9</v>
      </c>
      <c r="G6" s="19" t="n">
        <v>13759.25</v>
      </c>
      <c r="H6" s="19" t="n">
        <v>3093.08</v>
      </c>
      <c r="I6" s="35" t="n">
        <v>0.224800043607028</v>
      </c>
      <c r="J6" s="18" t="n">
        <v>17</v>
      </c>
      <c r="K6" s="19" t="n">
        <v>21364.25</v>
      </c>
      <c r="L6" s="19" t="n">
        <v>4827.309999999999</v>
      </c>
      <c r="M6" s="35" t="n">
        <v>0.225952701358578</v>
      </c>
      <c r="N6" s="19" t="n">
        <v>1544.4568</v>
      </c>
      <c r="O6" s="19" t="n">
        <v>1256.720588235294</v>
      </c>
      <c r="P6" s="19" t="n">
        <v>12858.65</v>
      </c>
      <c r="Q6" s="19" t="n">
        <v>782.1916794999999</v>
      </c>
      <c r="R6" s="19" t="n">
        <v>312.8766717999999</v>
      </c>
    </row>
    <row r="7">
      <c r="A7" s="17" t="inlineStr">
        <is>
          <t>February</t>
        </is>
      </c>
      <c r="B7" s="18" t="n">
        <v>13</v>
      </c>
      <c r="C7" s="19" t="n">
        <v>25367</v>
      </c>
      <c r="D7" s="19" t="n">
        <v>3258.77</v>
      </c>
      <c r="E7" s="35" t="n">
        <v>0.1284649347577561</v>
      </c>
      <c r="F7" s="18" t="n">
        <v>9</v>
      </c>
      <c r="G7" s="19" t="n">
        <v>15321.5</v>
      </c>
      <c r="H7" s="19" t="n">
        <v>2134.145</v>
      </c>
      <c r="I7" s="35" t="n">
        <v>0.1392908657768495</v>
      </c>
      <c r="J7" s="18" t="n">
        <v>17</v>
      </c>
      <c r="K7" s="19" t="n">
        <v>22838.5</v>
      </c>
      <c r="L7" s="19" t="n">
        <v>3556.305</v>
      </c>
      <c r="M7" s="35" t="n">
        <v>0.1557153490815947</v>
      </c>
      <c r="N7" s="19" t="n">
        <v>1951.307692307692</v>
      </c>
      <c r="O7" s="19" t="n">
        <v>1343.441176470588</v>
      </c>
      <c r="P7" s="19" t="n">
        <v>8949.220000000001</v>
      </c>
      <c r="Q7" s="19" t="n">
        <v>544.3810526000001</v>
      </c>
      <c r="R7" s="19" t="n">
        <v>217.7524210400001</v>
      </c>
    </row>
    <row r="8">
      <c r="A8" s="17" t="inlineStr">
        <is>
          <t>March</t>
        </is>
      </c>
      <c r="B8" s="18" t="n">
        <v>30</v>
      </c>
      <c r="C8" s="19" t="n">
        <v>46523.37</v>
      </c>
      <c r="D8" s="19" t="n">
        <v>6523.33</v>
      </c>
      <c r="E8" s="35" t="n">
        <v>0.140216196720057</v>
      </c>
      <c r="F8" s="18" t="n">
        <v>9</v>
      </c>
      <c r="G8" s="19" t="n">
        <v>12613.8</v>
      </c>
      <c r="H8" s="19" t="n">
        <v>2922.425</v>
      </c>
      <c r="I8" s="35" t="n">
        <v>0.2316847421078502</v>
      </c>
      <c r="J8" s="18" t="n">
        <v>13</v>
      </c>
      <c r="K8" s="19" t="n">
        <v>16514.8</v>
      </c>
      <c r="L8" s="19" t="n">
        <v>4196.505</v>
      </c>
      <c r="M8" s="35" t="n">
        <v>0.2541057112408264</v>
      </c>
      <c r="N8" s="19" t="n">
        <v>1550.779</v>
      </c>
      <c r="O8" s="19" t="n">
        <v>1270.369230769231</v>
      </c>
      <c r="P8" s="19" t="n">
        <v>13642.26</v>
      </c>
      <c r="Q8" s="19" t="n">
        <v>829.8586758000001</v>
      </c>
      <c r="R8" s="19" t="n">
        <v>331.9434703200001</v>
      </c>
    </row>
    <row r="9">
      <c r="A9" s="17" t="inlineStr">
        <is>
          <t>April</t>
        </is>
      </c>
      <c r="B9" s="18" t="n">
        <v>27</v>
      </c>
      <c r="C9" s="19" t="n">
        <v>37825.93</v>
      </c>
      <c r="D9" s="19" t="n">
        <v>8163.72</v>
      </c>
      <c r="E9" s="35" t="n">
        <v>0.2158233783016042</v>
      </c>
      <c r="F9" s="18" t="n">
        <v>7</v>
      </c>
      <c r="G9" s="19" t="n">
        <v>7680.975</v>
      </c>
      <c r="H9" s="19" t="n">
        <v>1983.905</v>
      </c>
      <c r="I9" s="35" t="n">
        <v>0.2582881730509473</v>
      </c>
      <c r="J9" s="18" t="n">
        <v>21</v>
      </c>
      <c r="K9" s="19" t="n">
        <v>18616.965</v>
      </c>
      <c r="L9" s="19" t="n">
        <v>7423.094999999999</v>
      </c>
      <c r="M9" s="35" t="n">
        <v>0.398727451010409</v>
      </c>
      <c r="N9" s="19" t="n">
        <v>1400.96037037037</v>
      </c>
      <c r="O9" s="19" t="n">
        <v>886.5221428571429</v>
      </c>
      <c r="P9" s="19" t="n">
        <v>17570.72</v>
      </c>
      <c r="Q9" s="19" t="n">
        <v>1068.8268976</v>
      </c>
      <c r="R9" s="19" t="n">
        <v>427.53075904</v>
      </c>
    </row>
    <row r="11">
      <c r="A11" s="36" t="inlineStr">
        <is>
          <t>PROPOSAL A - PREMIUM-BASED</t>
        </is>
      </c>
    </row>
    <row r="12">
      <c r="A12" s="6" t="inlineStr">
        <is>
          <t>Month</t>
        </is>
      </c>
      <c r="B12" s="6" t="inlineStr">
        <is>
          <t>NB base</t>
        </is>
      </c>
      <c r="C12" s="6" t="inlineStr">
        <is>
          <t>NB col inc</t>
        </is>
      </c>
      <c r="D12" s="6" t="inlineStr">
        <is>
          <t>NB target</t>
        </is>
      </c>
      <c r="E12" s="6" t="inlineStr">
        <is>
          <t>REN base</t>
        </is>
      </c>
      <c r="F12" s="6" t="inlineStr">
        <is>
          <t>REN col inc</t>
        </is>
      </c>
      <c r="G12" s="6" t="inlineStr">
        <is>
          <t>REN target</t>
        </is>
      </c>
      <c r="H12" s="6" t="inlineStr">
        <is>
          <t>RWR target</t>
        </is>
      </c>
      <c r="I12" s="6" t="inlineStr">
        <is>
          <t>Retention</t>
        </is>
      </c>
      <c r="J12" s="6" t="inlineStr">
        <is>
          <t>Total target</t>
        </is>
      </c>
      <c r="K12" s="6" t="inlineStr">
        <is>
          <t>PAID after MIN</t>
        </is>
      </c>
      <c r="L12" s="6" t="inlineStr">
        <is>
          <t>Gates (NB/REN/RWR)</t>
        </is>
      </c>
      <c r="M12" s="6" t="inlineStr">
        <is>
          <t>Safe Net</t>
        </is>
      </c>
      <c r="N12" s="6" t="inlineStr">
        <is>
          <t>vs Current</t>
        </is>
      </c>
      <c r="O12" s="6" t="inlineStr">
        <is>
          <t>Current Bonus</t>
        </is>
      </c>
    </row>
    <row r="13">
      <c r="A13" s="12" t="inlineStr">
        <is>
          <t>January</t>
        </is>
      </c>
      <c r="B13" s="11" t="n">
        <v>175</v>
      </c>
      <c r="C13" s="11" t="n">
        <v>0</v>
      </c>
      <c r="D13" s="11" t="n">
        <v>175</v>
      </c>
      <c r="E13" s="11" t="n">
        <v>102</v>
      </c>
      <c r="F13" s="11" t="n">
        <v>0</v>
      </c>
      <c r="G13" s="11" t="n">
        <v>102</v>
      </c>
      <c r="H13" s="11" t="n">
        <v>27</v>
      </c>
      <c r="I13" s="11" t="n">
        <v>225</v>
      </c>
      <c r="J13" s="11" t="n">
        <v>529</v>
      </c>
      <c r="K13" s="20" t="n">
        <v>327</v>
      </c>
      <c r="L13" s="37" t="inlineStr">
        <is>
          <t>n/Y/n</t>
        </is>
      </c>
      <c r="M13" s="11" t="n">
        <v>782.1916794999999</v>
      </c>
      <c r="N13" s="11" t="n">
        <v>77</v>
      </c>
      <c r="O13" s="11" t="n">
        <v>250</v>
      </c>
    </row>
    <row r="14">
      <c r="A14" s="12" t="inlineStr">
        <is>
          <t>February</t>
        </is>
      </c>
      <c r="B14" s="11" t="n">
        <v>130</v>
      </c>
      <c r="C14" s="11" t="n">
        <v>0</v>
      </c>
      <c r="D14" s="11" t="n">
        <v>130</v>
      </c>
      <c r="E14" s="11" t="n">
        <v>102</v>
      </c>
      <c r="F14" s="11" t="n">
        <v>0</v>
      </c>
      <c r="G14" s="11" t="n">
        <v>102</v>
      </c>
      <c r="H14" s="11" t="n">
        <v>27</v>
      </c>
      <c r="I14" s="11" t="n">
        <v>225</v>
      </c>
      <c r="J14" s="11" t="n">
        <v>484</v>
      </c>
      <c r="K14" s="20" t="n">
        <v>327</v>
      </c>
      <c r="L14" s="37" t="inlineStr">
        <is>
          <t>n/Y/n</t>
        </is>
      </c>
      <c r="M14" s="11" t="n">
        <v>544.3810526000001</v>
      </c>
      <c r="N14" s="11" t="n">
        <v>327</v>
      </c>
      <c r="O14" s="11" t="n">
        <v>0</v>
      </c>
    </row>
    <row r="15">
      <c r="A15" s="12" t="inlineStr">
        <is>
          <t>March</t>
        </is>
      </c>
      <c r="B15" s="11" t="n">
        <v>210</v>
      </c>
      <c r="C15" s="11" t="n">
        <v>0</v>
      </c>
      <c r="D15" s="11" t="n">
        <v>210</v>
      </c>
      <c r="E15" s="11" t="n">
        <v>78</v>
      </c>
      <c r="F15" s="11" t="n">
        <v>9.68311111111111</v>
      </c>
      <c r="G15" s="11" t="n">
        <v>87.68311111111112</v>
      </c>
      <c r="H15" s="11" t="n">
        <v>27</v>
      </c>
      <c r="I15" s="11" t="n">
        <v>225</v>
      </c>
      <c r="J15" s="11" t="n">
        <v>549.6831111111111</v>
      </c>
      <c r="K15" s="20" t="n">
        <v>549.6831111111111</v>
      </c>
      <c r="L15" s="27" t="inlineStr">
        <is>
          <t>Y/Y/Y</t>
        </is>
      </c>
      <c r="M15" s="11" t="n">
        <v>829.8586758000001</v>
      </c>
      <c r="N15" s="11" t="n">
        <v>199.6831111111111</v>
      </c>
      <c r="O15" s="11" t="n">
        <v>350</v>
      </c>
    </row>
    <row r="16">
      <c r="A16" s="12" t="inlineStr">
        <is>
          <t>April</t>
        </is>
      </c>
      <c r="B16" s="11" t="n">
        <v>189</v>
      </c>
      <c r="C16" s="11" t="n">
        <v>0</v>
      </c>
      <c r="D16" s="11" t="n">
        <v>189</v>
      </c>
      <c r="E16" s="11" t="n">
        <v>84</v>
      </c>
      <c r="F16" s="11" t="n">
        <v>6.685516666666666</v>
      </c>
      <c r="G16" s="11" t="n">
        <v>90.68551666666667</v>
      </c>
      <c r="H16" s="11" t="n">
        <v>17.86775</v>
      </c>
      <c r="I16" s="11" t="n">
        <v>225</v>
      </c>
      <c r="J16" s="11" t="n">
        <v>522.5532666666667</v>
      </c>
      <c r="K16" s="20" t="n">
        <v>315.6855166666667</v>
      </c>
      <c r="L16" s="37" t="inlineStr">
        <is>
          <t>n/Y/n</t>
        </is>
      </c>
      <c r="M16" s="11" t="n">
        <v>1068.8268976</v>
      </c>
      <c r="N16" s="11" t="n">
        <v>65.68551666666667</v>
      </c>
      <c r="O16" s="11" t="n">
        <v>250</v>
      </c>
    </row>
    <row r="17">
      <c r="A17" s="22" t="inlineStr">
        <is>
          <t>4-Month Total</t>
        </is>
      </c>
      <c r="B17" s="38" t="n"/>
      <c r="C17" s="38" t="n"/>
      <c r="D17" s="38" t="n"/>
      <c r="E17" s="38" t="n"/>
      <c r="F17" s="38" t="n"/>
      <c r="G17" s="38" t="n"/>
      <c r="H17" s="38" t="n"/>
      <c r="I17" s="23" t="n">
        <v>2085.236377777778</v>
      </c>
      <c r="J17" s="23" t="n">
        <v>1519.368627777778</v>
      </c>
      <c r="K17" s="38" t="n"/>
      <c r="L17" s="38" t="n"/>
      <c r="M17" s="38" t="n"/>
      <c r="N17" s="23" t="n">
        <v>669.3686277777776</v>
      </c>
      <c r="O17" s="23" t="n">
        <v>850</v>
      </c>
    </row>
    <row r="19">
      <c r="A19" s="39" t="inlineStr">
        <is>
          <t>PROPOSAL B - COVERAGE-BASED</t>
        </is>
      </c>
    </row>
    <row r="20">
      <c r="A20" s="6" t="inlineStr">
        <is>
          <t>Month</t>
        </is>
      </c>
      <c r="B20" s="6" t="inlineStr">
        <is>
          <t>NB Base ($10 x ct)</t>
        </is>
      </c>
      <c r="C20" s="6" t="inlineStr">
        <is>
          <t>NB Liab Add ($5 x 35%)</t>
        </is>
      </c>
      <c r="D20" s="6" t="inlineStr">
        <is>
          <t>NB Target (w/ kicker)</t>
        </is>
      </c>
      <c r="E20" s="6" t="inlineStr">
        <is>
          <t>REN Base ($6 x ct)</t>
        </is>
      </c>
      <c r="F20" s="6" t="inlineStr">
        <is>
          <t>REN Liab Add ($3 x 30%)</t>
        </is>
      </c>
      <c r="G20" s="6" t="inlineStr">
        <is>
          <t>REN Target (w/ kicker)</t>
        </is>
      </c>
      <c r="H20" s="6" t="inlineStr">
        <is>
          <t>RWR Target (w/ kicker)</t>
        </is>
      </c>
      <c r="I20" s="6" t="inlineStr">
        <is>
          <t>Total Target (no min)</t>
        </is>
      </c>
      <c r="J20" s="6" t="inlineStr">
        <is>
          <t>PAID after MIN</t>
        </is>
      </c>
      <c r="K20" s="6" t="inlineStr">
        <is>
          <t>Gates (NB/REN/RWR)</t>
        </is>
      </c>
      <c r="L20" s="6" t="inlineStr">
        <is>
          <t>Safe Net</t>
        </is>
      </c>
      <c r="M20" s="6" t="inlineStr">
        <is>
          <t>Bonus % SN</t>
        </is>
      </c>
      <c r="N20" s="6" t="inlineStr">
        <is>
          <t>vs Current</t>
        </is>
      </c>
      <c r="O20" s="6" t="inlineStr">
        <is>
          <t>Current Bonus</t>
        </is>
      </c>
    </row>
    <row r="21">
      <c r="A21" s="15" t="inlineStr">
        <is>
          <t>January</t>
        </is>
      </c>
      <c r="B21" s="14" t="n">
        <v>275</v>
      </c>
      <c r="C21" s="14" t="n">
        <v>52.5</v>
      </c>
      <c r="D21" s="14" t="n">
        <v>327.5</v>
      </c>
      <c r="E21" s="14" t="n">
        <v>119</v>
      </c>
      <c r="F21" s="14" t="n">
        <v>15.3</v>
      </c>
      <c r="G21" s="14" t="n">
        <v>147.73</v>
      </c>
      <c r="H21" s="14" t="n">
        <v>19.8</v>
      </c>
      <c r="I21" s="14" t="n">
        <v>495.03</v>
      </c>
      <c r="J21" s="21" t="n">
        <v>147.73</v>
      </c>
      <c r="K21" s="37" t="inlineStr">
        <is>
          <t>n/Y/n</t>
        </is>
      </c>
      <c r="L21" s="14" t="n">
        <v>782.1916794999999</v>
      </c>
      <c r="M21" s="40" t="n">
        <v>0.6328755635913155</v>
      </c>
      <c r="N21" s="14" t="n">
        <v>-102.27</v>
      </c>
      <c r="O21" s="14" t="n">
        <v>250</v>
      </c>
    </row>
    <row r="22">
      <c r="A22" s="15" t="inlineStr">
        <is>
          <t>February</t>
        </is>
      </c>
      <c r="B22" s="14" t="n">
        <v>143</v>
      </c>
      <c r="C22" s="14" t="n">
        <v>27.3</v>
      </c>
      <c r="D22" s="14" t="n">
        <v>170.3</v>
      </c>
      <c r="E22" s="14" t="n">
        <v>119</v>
      </c>
      <c r="F22" s="14" t="n">
        <v>15.3</v>
      </c>
      <c r="G22" s="14" t="n">
        <v>147.73</v>
      </c>
      <c r="H22" s="14" t="n">
        <v>18</v>
      </c>
      <c r="I22" s="14" t="n">
        <v>336.03</v>
      </c>
      <c r="J22" s="21" t="n">
        <v>147.73</v>
      </c>
      <c r="K22" s="37" t="inlineStr">
        <is>
          <t>n/Y/n</t>
        </is>
      </c>
      <c r="L22" s="14" t="n">
        <v>544.3810526000001</v>
      </c>
      <c r="M22" s="40" t="n">
        <v>0.6172698303791038</v>
      </c>
      <c r="N22" s="14" t="n">
        <v>147.73</v>
      </c>
      <c r="O22" s="14" t="n">
        <v>0</v>
      </c>
    </row>
    <row r="23">
      <c r="A23" s="15" t="inlineStr">
        <is>
          <t>March</t>
        </is>
      </c>
      <c r="B23" s="14" t="n">
        <v>330</v>
      </c>
      <c r="C23" s="14" t="n">
        <v>63</v>
      </c>
      <c r="D23" s="14" t="n">
        <v>393</v>
      </c>
      <c r="E23" s="14" t="n">
        <v>91</v>
      </c>
      <c r="F23" s="14" t="n">
        <v>11.7</v>
      </c>
      <c r="G23" s="14" t="n">
        <v>118.105</v>
      </c>
      <c r="H23" s="14" t="n">
        <v>19.8</v>
      </c>
      <c r="I23" s="14" t="n">
        <v>530.905</v>
      </c>
      <c r="J23" s="21" t="n">
        <v>530.905</v>
      </c>
      <c r="K23" s="27" t="inlineStr">
        <is>
          <t>Y/Y/Y</t>
        </is>
      </c>
      <c r="L23" s="14" t="n">
        <v>829.8586758000001</v>
      </c>
      <c r="M23" s="40" t="n">
        <v>0.6397535092203466</v>
      </c>
      <c r="N23" s="14" t="n">
        <v>180.905</v>
      </c>
      <c r="O23" s="14" t="n">
        <v>350</v>
      </c>
    </row>
    <row r="24">
      <c r="A24" s="15" t="inlineStr">
        <is>
          <t>April</t>
        </is>
      </c>
      <c r="B24" s="14" t="n">
        <v>297</v>
      </c>
      <c r="C24" s="14" t="n">
        <v>56.7</v>
      </c>
      <c r="D24" s="14" t="n">
        <v>389.07</v>
      </c>
      <c r="E24" s="14" t="n">
        <v>147</v>
      </c>
      <c r="F24" s="14" t="n">
        <v>18.9</v>
      </c>
      <c r="G24" s="14" t="n">
        <v>190.785</v>
      </c>
      <c r="H24" s="14" t="n">
        <v>16.1</v>
      </c>
      <c r="I24" s="14" t="n">
        <v>595.955</v>
      </c>
      <c r="J24" s="21" t="n">
        <v>190.785</v>
      </c>
      <c r="K24" s="37" t="inlineStr">
        <is>
          <t>n/Y/n</t>
        </is>
      </c>
      <c r="L24" s="14" t="n">
        <v>1068.8268976</v>
      </c>
      <c r="M24" s="40" t="n">
        <v>0.5575785951290978</v>
      </c>
      <c r="N24" s="14" t="n">
        <v>-59.215</v>
      </c>
      <c r="O24" s="14" t="n">
        <v>250</v>
      </c>
    </row>
    <row r="25">
      <c r="A25" s="22" t="inlineStr">
        <is>
          <t>4-Month Total</t>
        </is>
      </c>
      <c r="B25" s="38" t="n"/>
      <c r="C25" s="38" t="n"/>
      <c r="D25" s="38" t="n"/>
      <c r="E25" s="38" t="n"/>
      <c r="F25" s="38" t="n"/>
      <c r="G25" s="38" t="n"/>
      <c r="H25" s="38" t="n"/>
      <c r="I25" s="23" t="n">
        <v>1957.92</v>
      </c>
      <c r="J25" s="23" t="n">
        <v>1017.15</v>
      </c>
      <c r="K25" s="38" t="n"/>
      <c r="L25" s="38" t="n"/>
      <c r="M25" s="38" t="n"/>
      <c r="N25" s="23" t="n">
        <v>167.15</v>
      </c>
      <c r="O25" s="23" t="n">
        <v>850</v>
      </c>
    </row>
    <row r="28" ht="22" customHeight="1">
      <c r="A28" s="5" t="inlineStr">
        <is>
          <t>Dialinerys Dieguez</t>
        </is>
      </c>
    </row>
    <row r="29">
      <c r="A29" s="6" t="inlineStr">
        <is>
          <t>Month</t>
        </is>
      </c>
      <c r="B29" s="6" t="inlineStr">
        <is>
          <t>NB Count</t>
        </is>
      </c>
      <c r="C29" s="6" t="inlineStr">
        <is>
          <t>NB Premium</t>
        </is>
      </c>
      <c r="D29" s="6" t="inlineStr">
        <is>
          <t>NB Collected</t>
        </is>
      </c>
      <c r="E29" s="6" t="inlineStr">
        <is>
          <t>NB Coll %</t>
        </is>
      </c>
      <c r="F29" s="6" t="inlineStr">
        <is>
          <t>RWR Count</t>
        </is>
      </c>
      <c r="G29" s="6" t="inlineStr">
        <is>
          <t>RWR Premium</t>
        </is>
      </c>
      <c r="H29" s="6" t="inlineStr">
        <is>
          <t>RWR Collected</t>
        </is>
      </c>
      <c r="I29" s="6" t="inlineStr">
        <is>
          <t>RWR Coll %</t>
        </is>
      </c>
      <c r="J29" s="6" t="inlineStr">
        <is>
          <t>REN Count</t>
        </is>
      </c>
      <c r="K29" s="6" t="inlineStr">
        <is>
          <t>REN Premium</t>
        </is>
      </c>
      <c r="L29" s="6" t="inlineStr">
        <is>
          <t>REN Collected</t>
        </is>
      </c>
      <c r="M29" s="6" t="inlineStr">
        <is>
          <t>REN Coll %</t>
        </is>
      </c>
      <c r="N29" s="6" t="inlineStr">
        <is>
          <t>Avg NB Prem</t>
        </is>
      </c>
      <c r="O29" s="6" t="inlineStr">
        <is>
          <t>Avg REN Prem</t>
        </is>
      </c>
      <c r="P29" s="6" t="inlineStr">
        <is>
          <t>Total Collected</t>
        </is>
      </c>
      <c r="Q29" s="6" t="inlineStr">
        <is>
          <t>Safe Net</t>
        </is>
      </c>
      <c r="R29" s="6" t="inlineStr">
        <is>
          <t>Cap</t>
        </is>
      </c>
    </row>
    <row r="30">
      <c r="A30" s="17" t="inlineStr">
        <is>
          <t>January</t>
        </is>
      </c>
      <c r="B30" s="18" t="n">
        <v>23</v>
      </c>
      <c r="C30" s="19" t="n">
        <v>40249.26</v>
      </c>
      <c r="D30" s="19" t="n">
        <v>4925</v>
      </c>
      <c r="E30" s="35" t="n">
        <v>0.1223624980931326</v>
      </c>
      <c r="F30" s="18" t="n">
        <v>24</v>
      </c>
      <c r="G30" s="19" t="n">
        <v>32837.69</v>
      </c>
      <c r="H30" s="19" t="n">
        <v>5468.16</v>
      </c>
      <c r="I30" s="35" t="n">
        <v>0.1665208484518856</v>
      </c>
      <c r="J30" s="18" t="n">
        <v>35</v>
      </c>
      <c r="K30" s="19" t="n">
        <v>45368.16</v>
      </c>
      <c r="L30" s="19" t="n">
        <v>10419.75</v>
      </c>
      <c r="M30" s="35" t="n">
        <v>0.229670985113789</v>
      </c>
      <c r="N30" s="19" t="n">
        <v>1749.967826086957</v>
      </c>
      <c r="O30" s="19" t="n">
        <v>1296.233142857143</v>
      </c>
      <c r="P30" s="19" t="n">
        <v>20812.91</v>
      </c>
      <c r="Q30" s="19" t="n">
        <v>1266.0493153</v>
      </c>
      <c r="R30" s="19" t="n">
        <v>506.41972612</v>
      </c>
    </row>
    <row r="31">
      <c r="A31" s="17" t="inlineStr">
        <is>
          <t>February</t>
        </is>
      </c>
      <c r="B31" s="18" t="n">
        <v>23</v>
      </c>
      <c r="C31" s="19" t="n">
        <v>30057.89</v>
      </c>
      <c r="D31" s="19" t="n">
        <v>5766.72</v>
      </c>
      <c r="E31" s="35" t="n">
        <v>0.1918537861440041</v>
      </c>
      <c r="F31" s="18" t="n">
        <v>28</v>
      </c>
      <c r="G31" s="19" t="n">
        <v>42772.3</v>
      </c>
      <c r="H31" s="19" t="n">
        <v>6965.715</v>
      </c>
      <c r="I31" s="35" t="n">
        <v>0.1628557500999478</v>
      </c>
      <c r="J31" s="18" t="n">
        <v>37</v>
      </c>
      <c r="K31" s="19" t="n">
        <v>54401.98</v>
      </c>
      <c r="L31" s="19" t="n">
        <v>8903.315000000001</v>
      </c>
      <c r="M31" s="35" t="n">
        <v>0.1636579220094563</v>
      </c>
      <c r="N31" s="19" t="n">
        <v>1306.864782608696</v>
      </c>
      <c r="O31" s="19" t="n">
        <v>1470.323783783784</v>
      </c>
      <c r="P31" s="19" t="n">
        <v>21635.75</v>
      </c>
      <c r="Q31" s="19" t="n">
        <v>1316.1026725</v>
      </c>
      <c r="R31" s="19" t="n">
        <v>526.441069</v>
      </c>
    </row>
    <row r="32">
      <c r="A32" s="17" t="inlineStr">
        <is>
          <t>March</t>
        </is>
      </c>
      <c r="B32" s="18" t="n">
        <v>38</v>
      </c>
      <c r="C32" s="19" t="n">
        <v>52434.9</v>
      </c>
      <c r="D32" s="19" t="n">
        <v>10546.59</v>
      </c>
      <c r="E32" s="35" t="n">
        <v>0.2011368382508596</v>
      </c>
      <c r="F32" s="18" t="n">
        <v>35</v>
      </c>
      <c r="G32" s="19" t="n">
        <v>48114.175</v>
      </c>
      <c r="H32" s="19" t="n">
        <v>9850.190000000001</v>
      </c>
      <c r="I32" s="35" t="n">
        <v>0.2047253226310126</v>
      </c>
      <c r="J32" s="18" t="n">
        <v>41</v>
      </c>
      <c r="K32" s="19" t="n">
        <v>54076.675</v>
      </c>
      <c r="L32" s="19" t="n">
        <v>12930.19</v>
      </c>
      <c r="M32" s="35" t="n">
        <v>0.2391084511020694</v>
      </c>
      <c r="N32" s="19" t="n">
        <v>1379.865789473684</v>
      </c>
      <c r="O32" s="19" t="n">
        <v>1318.943292682927</v>
      </c>
      <c r="P32" s="19" t="n">
        <v>33326.97</v>
      </c>
      <c r="Q32" s="19" t="n">
        <v>2027.2795851</v>
      </c>
      <c r="R32" s="19" t="n">
        <v>810.91183404</v>
      </c>
    </row>
    <row r="33">
      <c r="A33" s="17" t="inlineStr">
        <is>
          <t>April</t>
        </is>
      </c>
      <c r="B33" s="18" t="n">
        <v>33</v>
      </c>
      <c r="C33" s="19" t="n">
        <v>49689.35</v>
      </c>
      <c r="D33" s="19" t="n">
        <v>8831.440000000001</v>
      </c>
      <c r="E33" s="35" t="n">
        <v>0.1777330554736579</v>
      </c>
      <c r="F33" s="18" t="n">
        <v>22</v>
      </c>
      <c r="G33" s="19" t="n">
        <v>32082.715</v>
      </c>
      <c r="H33" s="19" t="n">
        <v>8334.025</v>
      </c>
      <c r="I33" s="35" t="n">
        <v>0.2597668245969831</v>
      </c>
      <c r="J33" s="18" t="n">
        <v>24</v>
      </c>
      <c r="K33" s="19" t="n">
        <v>51657.715</v>
      </c>
      <c r="L33" s="19" t="n">
        <v>11273.675</v>
      </c>
      <c r="M33" s="35" t="n">
        <v>0.2182379727790902</v>
      </c>
      <c r="N33" s="19" t="n">
        <v>1505.737878787879</v>
      </c>
      <c r="O33" s="19" t="n">
        <v>2152.404791666666</v>
      </c>
      <c r="P33" s="19" t="n">
        <v>28439.14</v>
      </c>
      <c r="Q33" s="19" t="n">
        <v>1729.9528862</v>
      </c>
      <c r="R33" s="19" t="n">
        <v>691.98115448</v>
      </c>
    </row>
    <row r="35">
      <c r="A35" s="36" t="inlineStr">
        <is>
          <t>PROPOSAL A - PREMIUM-BASED</t>
        </is>
      </c>
    </row>
    <row r="36">
      <c r="A36" s="6" t="inlineStr">
        <is>
          <t>Month</t>
        </is>
      </c>
      <c r="B36" s="6" t="inlineStr">
        <is>
          <t>NB base</t>
        </is>
      </c>
      <c r="C36" s="6" t="inlineStr">
        <is>
          <t>NB col inc</t>
        </is>
      </c>
      <c r="D36" s="6" t="inlineStr">
        <is>
          <t>NB target</t>
        </is>
      </c>
      <c r="E36" s="6" t="inlineStr">
        <is>
          <t>REN base</t>
        </is>
      </c>
      <c r="F36" s="6" t="inlineStr">
        <is>
          <t>REN col inc</t>
        </is>
      </c>
      <c r="G36" s="6" t="inlineStr">
        <is>
          <t>REN target</t>
        </is>
      </c>
      <c r="H36" s="6" t="inlineStr">
        <is>
          <t>RWR target</t>
        </is>
      </c>
      <c r="I36" s="6" t="inlineStr">
        <is>
          <t>Retention</t>
        </is>
      </c>
      <c r="J36" s="6" t="inlineStr">
        <is>
          <t>Total target</t>
        </is>
      </c>
      <c r="K36" s="6" t="inlineStr">
        <is>
          <t>PAID after MIN</t>
        </is>
      </c>
      <c r="L36" s="6" t="inlineStr">
        <is>
          <t>Gates (NB/REN/RWR)</t>
        </is>
      </c>
      <c r="M36" s="6" t="inlineStr">
        <is>
          <t>Safe Net</t>
        </is>
      </c>
      <c r="N36" s="6" t="inlineStr">
        <is>
          <t>vs Current</t>
        </is>
      </c>
      <c r="O36" s="6" t="inlineStr">
        <is>
          <t>Current Bonus</t>
        </is>
      </c>
    </row>
    <row r="37">
      <c r="A37" s="12" t="inlineStr">
        <is>
          <t>January</t>
        </is>
      </c>
      <c r="B37" s="11" t="n">
        <v>161</v>
      </c>
      <c r="C37" s="11" t="n">
        <v>0</v>
      </c>
      <c r="D37" s="11" t="n">
        <v>161</v>
      </c>
      <c r="E37" s="11" t="n">
        <v>210</v>
      </c>
      <c r="F37" s="11" t="n">
        <v>0</v>
      </c>
      <c r="G37" s="11" t="n">
        <v>210</v>
      </c>
      <c r="H37" s="11" t="n">
        <v>72</v>
      </c>
      <c r="I37" s="11" t="n">
        <v>225</v>
      </c>
      <c r="J37" s="11" t="n">
        <v>668</v>
      </c>
      <c r="K37" s="20" t="n">
        <v>435</v>
      </c>
      <c r="L37" s="37" t="inlineStr">
        <is>
          <t>n/Y/n</t>
        </is>
      </c>
      <c r="M37" s="11" t="n">
        <v>1266.0493153</v>
      </c>
      <c r="N37" s="11" t="n">
        <v>85</v>
      </c>
      <c r="O37" s="11" t="n">
        <v>350</v>
      </c>
    </row>
    <row r="38">
      <c r="A38" s="12" t="inlineStr">
        <is>
          <t>February</t>
        </is>
      </c>
      <c r="B38" s="11" t="n">
        <v>161</v>
      </c>
      <c r="C38" s="11" t="n">
        <v>0</v>
      </c>
      <c r="D38" s="11" t="n">
        <v>161</v>
      </c>
      <c r="E38" s="11" t="n">
        <v>222</v>
      </c>
      <c r="F38" s="11" t="n">
        <v>0</v>
      </c>
      <c r="G38" s="11" t="n">
        <v>222</v>
      </c>
      <c r="H38" s="11" t="n">
        <v>84</v>
      </c>
      <c r="I38" s="11" t="n">
        <v>225</v>
      </c>
      <c r="J38" s="11" t="n">
        <v>692</v>
      </c>
      <c r="K38" s="20" t="n">
        <v>447</v>
      </c>
      <c r="L38" s="37" t="inlineStr">
        <is>
          <t>n/Y/n</t>
        </is>
      </c>
      <c r="M38" s="11" t="n">
        <v>1316.1026725</v>
      </c>
      <c r="N38" s="11" t="n">
        <v>-13</v>
      </c>
      <c r="O38" s="11" t="n">
        <v>460</v>
      </c>
    </row>
    <row r="39">
      <c r="A39" s="12" t="inlineStr">
        <is>
          <t>March</t>
        </is>
      </c>
      <c r="B39" s="11" t="n">
        <v>266</v>
      </c>
      <c r="C39" s="11" t="n">
        <v>0</v>
      </c>
      <c r="D39" s="11" t="n">
        <v>266</v>
      </c>
      <c r="E39" s="11" t="n">
        <v>246</v>
      </c>
      <c r="F39" s="11" t="n">
        <v>0</v>
      </c>
      <c r="G39" s="11" t="n">
        <v>246</v>
      </c>
      <c r="H39" s="11" t="n">
        <v>105</v>
      </c>
      <c r="I39" s="11" t="n">
        <v>225</v>
      </c>
      <c r="J39" s="11" t="n">
        <v>842</v>
      </c>
      <c r="K39" s="20" t="n">
        <v>842</v>
      </c>
      <c r="L39" s="27" t="inlineStr">
        <is>
          <t>Y/Y/Y</t>
        </is>
      </c>
      <c r="M39" s="11" t="n">
        <v>2027.2795851</v>
      </c>
      <c r="N39" s="11" t="n">
        <v>162</v>
      </c>
      <c r="O39" s="11" t="n">
        <v>680</v>
      </c>
    </row>
    <row r="40">
      <c r="A40" s="12" t="inlineStr">
        <is>
          <t>April</t>
        </is>
      </c>
      <c r="B40" s="11" t="n">
        <v>231</v>
      </c>
      <c r="C40" s="11" t="n">
        <v>0</v>
      </c>
      <c r="D40" s="11" t="n">
        <v>231</v>
      </c>
      <c r="E40" s="11" t="n">
        <v>192</v>
      </c>
      <c r="F40" s="11" t="n">
        <v>0</v>
      </c>
      <c r="G40" s="11" t="n">
        <v>192</v>
      </c>
      <c r="H40" s="11" t="n">
        <v>86.98079444444444</v>
      </c>
      <c r="I40" s="11" t="n">
        <v>225</v>
      </c>
      <c r="J40" s="11" t="n">
        <v>734.9807944444444</v>
      </c>
      <c r="K40" s="20" t="n">
        <v>734.9807944444444</v>
      </c>
      <c r="L40" s="27" t="inlineStr">
        <is>
          <t>Y/Y/Y</t>
        </is>
      </c>
      <c r="M40" s="11" t="n">
        <v>1729.9528862</v>
      </c>
      <c r="N40" s="11" t="n">
        <v>234.9807944444444</v>
      </c>
      <c r="O40" s="11" t="n">
        <v>500</v>
      </c>
    </row>
    <row r="41">
      <c r="A41" s="22" t="inlineStr">
        <is>
          <t>4-Month Total</t>
        </is>
      </c>
      <c r="B41" s="38" t="n"/>
      <c r="C41" s="38" t="n"/>
      <c r="D41" s="38" t="n"/>
      <c r="E41" s="38" t="n"/>
      <c r="F41" s="38" t="n"/>
      <c r="G41" s="38" t="n"/>
      <c r="H41" s="38" t="n"/>
      <c r="I41" s="23" t="n">
        <v>2936.980794444445</v>
      </c>
      <c r="J41" s="23" t="n">
        <v>2458.980794444445</v>
      </c>
      <c r="K41" s="38" t="n"/>
      <c r="L41" s="38" t="n"/>
      <c r="M41" s="38" t="n"/>
      <c r="N41" s="23" t="n">
        <v>468.9807944444447</v>
      </c>
      <c r="O41" s="23" t="n">
        <v>1990</v>
      </c>
    </row>
    <row r="43">
      <c r="A43" s="39" t="inlineStr">
        <is>
          <t>PROPOSAL B - COVERAGE-BASED</t>
        </is>
      </c>
    </row>
    <row r="44">
      <c r="A44" s="6" t="inlineStr">
        <is>
          <t>Month</t>
        </is>
      </c>
      <c r="B44" s="6" t="inlineStr">
        <is>
          <t>NB Base ($10 x ct)</t>
        </is>
      </c>
      <c r="C44" s="6" t="inlineStr">
        <is>
          <t>NB Liab Add ($5 x 35%)</t>
        </is>
      </c>
      <c r="D44" s="6" t="inlineStr">
        <is>
          <t>NB Target (w/ kicker)</t>
        </is>
      </c>
      <c r="E44" s="6" t="inlineStr">
        <is>
          <t>REN Base ($6 x ct)</t>
        </is>
      </c>
      <c r="F44" s="6" t="inlineStr">
        <is>
          <t>REN Liab Add ($3 x 30%)</t>
        </is>
      </c>
      <c r="G44" s="6" t="inlineStr">
        <is>
          <t>REN Target (w/ kicker)</t>
        </is>
      </c>
      <c r="H44" s="6" t="inlineStr">
        <is>
          <t>RWR Target (w/ kicker)</t>
        </is>
      </c>
      <c r="I44" s="6" t="inlineStr">
        <is>
          <t>Total Target (no min)</t>
        </is>
      </c>
      <c r="J44" s="6" t="inlineStr">
        <is>
          <t>PAID after MIN</t>
        </is>
      </c>
      <c r="K44" s="6" t="inlineStr">
        <is>
          <t>Gates (NB/REN/RWR)</t>
        </is>
      </c>
      <c r="L44" s="6" t="inlineStr">
        <is>
          <t>Safe Net</t>
        </is>
      </c>
      <c r="M44" s="6" t="inlineStr">
        <is>
          <t>Bonus % SN</t>
        </is>
      </c>
      <c r="N44" s="6" t="inlineStr">
        <is>
          <t>vs Current</t>
        </is>
      </c>
      <c r="O44" s="6" t="inlineStr">
        <is>
          <t>Current Bonus</t>
        </is>
      </c>
    </row>
    <row r="45">
      <c r="A45" s="15" t="inlineStr">
        <is>
          <t>January</t>
        </is>
      </c>
      <c r="B45" s="14" t="n">
        <v>253</v>
      </c>
      <c r="C45" s="14" t="n">
        <v>48.3</v>
      </c>
      <c r="D45" s="14" t="n">
        <v>301.3</v>
      </c>
      <c r="E45" s="14" t="n">
        <v>245</v>
      </c>
      <c r="F45" s="14" t="n">
        <v>31.5</v>
      </c>
      <c r="G45" s="14" t="n">
        <v>304.15</v>
      </c>
      <c r="H45" s="14" t="n">
        <v>52.8</v>
      </c>
      <c r="I45" s="14" t="n">
        <v>658.25</v>
      </c>
      <c r="J45" s="21" t="n">
        <v>304.15</v>
      </c>
      <c r="K45" s="37" t="inlineStr">
        <is>
          <t>n/Y/n</t>
        </is>
      </c>
      <c r="L45" s="14" t="n">
        <v>1266.0493153</v>
      </c>
      <c r="M45" s="40" t="n">
        <v>0.5199244547942611</v>
      </c>
      <c r="N45" s="14" t="n">
        <v>-45.84999999999997</v>
      </c>
      <c r="O45" s="14" t="n">
        <v>350</v>
      </c>
    </row>
    <row r="46">
      <c r="A46" s="15" t="inlineStr">
        <is>
          <t>February</t>
        </is>
      </c>
      <c r="B46" s="14" t="n">
        <v>253</v>
      </c>
      <c r="C46" s="14" t="n">
        <v>48.3</v>
      </c>
      <c r="D46" s="14" t="n">
        <v>331.4300000000001</v>
      </c>
      <c r="E46" s="14" t="n">
        <v>259</v>
      </c>
      <c r="F46" s="14" t="n">
        <v>33.3</v>
      </c>
      <c r="G46" s="14" t="n">
        <v>321.53</v>
      </c>
      <c r="H46" s="14" t="n">
        <v>61.60000000000001</v>
      </c>
      <c r="I46" s="14" t="n">
        <v>714.5600000000001</v>
      </c>
      <c r="J46" s="21" t="n">
        <v>321.53</v>
      </c>
      <c r="K46" s="37" t="inlineStr">
        <is>
          <t>n/Y/n</t>
        </is>
      </c>
      <c r="L46" s="14" t="n">
        <v>1316.1026725</v>
      </c>
      <c r="M46" s="40" t="n">
        <v>0.5429363642599853</v>
      </c>
      <c r="N46" s="14" t="n">
        <v>-138.47</v>
      </c>
      <c r="O46" s="14" t="n">
        <v>460</v>
      </c>
    </row>
    <row r="47">
      <c r="A47" s="15" t="inlineStr">
        <is>
          <t>March</t>
        </is>
      </c>
      <c r="B47" s="14" t="n">
        <v>418</v>
      </c>
      <c r="C47" s="14" t="n">
        <v>79.8</v>
      </c>
      <c r="D47" s="14" t="n">
        <v>547.58</v>
      </c>
      <c r="E47" s="14" t="n">
        <v>287</v>
      </c>
      <c r="F47" s="14" t="n">
        <v>36.9</v>
      </c>
      <c r="G47" s="14" t="n">
        <v>356.29</v>
      </c>
      <c r="H47" s="14" t="n">
        <v>77</v>
      </c>
      <c r="I47" s="14" t="n">
        <v>980.8700000000001</v>
      </c>
      <c r="J47" s="21" t="n">
        <v>980.8700000000001</v>
      </c>
      <c r="K47" s="27" t="inlineStr">
        <is>
          <t>Y/Y/Y</t>
        </is>
      </c>
      <c r="L47" s="14" t="n">
        <v>2027.2795851</v>
      </c>
      <c r="M47" s="40" t="n">
        <v>0.4838355830193083</v>
      </c>
      <c r="N47" s="14" t="n">
        <v>300.8700000000001</v>
      </c>
      <c r="O47" s="14" t="n">
        <v>680</v>
      </c>
    </row>
    <row r="48">
      <c r="A48" s="15" t="inlineStr">
        <is>
          <t>April</t>
        </is>
      </c>
      <c r="B48" s="14" t="n">
        <v>363</v>
      </c>
      <c r="C48" s="14" t="n">
        <v>69.3</v>
      </c>
      <c r="D48" s="14" t="n">
        <v>475.53</v>
      </c>
      <c r="E48" s="14" t="n">
        <v>168</v>
      </c>
      <c r="F48" s="14" t="n">
        <v>21.6</v>
      </c>
      <c r="G48" s="14" t="n">
        <v>208.56</v>
      </c>
      <c r="H48" s="14" t="n">
        <v>50.59999999999999</v>
      </c>
      <c r="I48" s="14" t="n">
        <v>734.6900000000001</v>
      </c>
      <c r="J48" s="21" t="n">
        <v>734.6900000000001</v>
      </c>
      <c r="K48" s="27" t="inlineStr">
        <is>
          <t>Y/Y/Y</t>
        </is>
      </c>
      <c r="L48" s="14" t="n">
        <v>1729.9528862</v>
      </c>
      <c r="M48" s="40" t="n">
        <v>0.424687866276991</v>
      </c>
      <c r="N48" s="14" t="n">
        <v>234.6900000000001</v>
      </c>
      <c r="O48" s="14" t="n">
        <v>500</v>
      </c>
    </row>
    <row r="49">
      <c r="A49" s="22" t="inlineStr">
        <is>
          <t>4-Month Total</t>
        </is>
      </c>
      <c r="B49" s="38" t="n"/>
      <c r="C49" s="38" t="n"/>
      <c r="D49" s="38" t="n"/>
      <c r="E49" s="38" t="n"/>
      <c r="F49" s="38" t="n"/>
      <c r="G49" s="38" t="n"/>
      <c r="H49" s="38" t="n"/>
      <c r="I49" s="23" t="n">
        <v>3088.37</v>
      </c>
      <c r="J49" s="23" t="n">
        <v>2341.24</v>
      </c>
      <c r="K49" s="38" t="n"/>
      <c r="L49" s="38" t="n"/>
      <c r="M49" s="38" t="n"/>
      <c r="N49" s="23" t="n">
        <v>351.2400000000002</v>
      </c>
      <c r="O49" s="23" t="n">
        <v>1990</v>
      </c>
    </row>
    <row r="52" ht="22" customHeight="1">
      <c r="A52" s="5" t="inlineStr">
        <is>
          <t>Melissa Hernandez</t>
        </is>
      </c>
    </row>
    <row r="53">
      <c r="A53" s="6" t="inlineStr">
        <is>
          <t>Month</t>
        </is>
      </c>
      <c r="B53" s="6" t="inlineStr">
        <is>
          <t>NB Count</t>
        </is>
      </c>
      <c r="C53" s="6" t="inlineStr">
        <is>
          <t>NB Premium</t>
        </is>
      </c>
      <c r="D53" s="6" t="inlineStr">
        <is>
          <t>NB Collected</t>
        </is>
      </c>
      <c r="E53" s="6" t="inlineStr">
        <is>
          <t>NB Coll %</t>
        </is>
      </c>
      <c r="F53" s="6" t="inlineStr">
        <is>
          <t>RWR Count</t>
        </is>
      </c>
      <c r="G53" s="6" t="inlineStr">
        <is>
          <t>RWR Premium</t>
        </is>
      </c>
      <c r="H53" s="6" t="inlineStr">
        <is>
          <t>RWR Collected</t>
        </is>
      </c>
      <c r="I53" s="6" t="inlineStr">
        <is>
          <t>RWR Coll %</t>
        </is>
      </c>
      <c r="J53" s="6" t="inlineStr">
        <is>
          <t>REN Count</t>
        </is>
      </c>
      <c r="K53" s="6" t="inlineStr">
        <is>
          <t>REN Premium</t>
        </is>
      </c>
      <c r="L53" s="6" t="inlineStr">
        <is>
          <t>REN Collected</t>
        </is>
      </c>
      <c r="M53" s="6" t="inlineStr">
        <is>
          <t>REN Coll %</t>
        </is>
      </c>
      <c r="N53" s="6" t="inlineStr">
        <is>
          <t>Avg NB Prem</t>
        </is>
      </c>
      <c r="O53" s="6" t="inlineStr">
        <is>
          <t>Avg REN Prem</t>
        </is>
      </c>
      <c r="P53" s="6" t="inlineStr">
        <is>
          <t>Total Collected</t>
        </is>
      </c>
      <c r="Q53" s="6" t="inlineStr">
        <is>
          <t>Safe Net</t>
        </is>
      </c>
      <c r="R53" s="6" t="inlineStr">
        <is>
          <t>Cap</t>
        </is>
      </c>
    </row>
    <row r="54">
      <c r="A54" s="17" t="inlineStr">
        <is>
          <t>January</t>
        </is>
      </c>
      <c r="B54" s="18" t="n">
        <v>31</v>
      </c>
      <c r="C54" s="19" t="n">
        <v>37039</v>
      </c>
      <c r="D54" s="19" t="n">
        <v>7651.14</v>
      </c>
      <c r="E54" s="35" t="n">
        <v>0.2065698317989147</v>
      </c>
      <c r="F54" s="18" t="n">
        <v>24</v>
      </c>
      <c r="G54" s="19" t="n">
        <v>31687.25</v>
      </c>
      <c r="H54" s="19" t="n">
        <v>5948.785</v>
      </c>
      <c r="I54" s="35" t="n">
        <v>0.1877343410993381</v>
      </c>
      <c r="J54" s="18" t="n">
        <v>24</v>
      </c>
      <c r="K54" s="19" t="n">
        <v>31687.25</v>
      </c>
      <c r="L54" s="19" t="n">
        <v>5948.785</v>
      </c>
      <c r="M54" s="35" t="n">
        <v>0.1877343410993381</v>
      </c>
      <c r="N54" s="19" t="n">
        <v>1194.806451612903</v>
      </c>
      <c r="O54" s="19" t="n">
        <v>1320.302083333333</v>
      </c>
      <c r="P54" s="19" t="n">
        <v>19548.71</v>
      </c>
      <c r="Q54" s="19" t="n">
        <v>1189.1480293</v>
      </c>
      <c r="R54" s="19" t="n">
        <v>475.65921172</v>
      </c>
    </row>
    <row r="55">
      <c r="A55" s="17" t="inlineStr">
        <is>
          <t>February</t>
        </is>
      </c>
      <c r="B55" s="18" t="n">
        <v>13</v>
      </c>
      <c r="C55" s="19" t="n">
        <v>7659.5</v>
      </c>
      <c r="D55" s="19" t="n">
        <v>2095.02</v>
      </c>
      <c r="E55" s="35" t="n">
        <v>0.2735191592140479</v>
      </c>
      <c r="F55" s="18" t="n">
        <v>19</v>
      </c>
      <c r="G55" s="19" t="n">
        <v>24995.35</v>
      </c>
      <c r="H55" s="19" t="n">
        <v>3401.365</v>
      </c>
      <c r="I55" s="35" t="n">
        <v>0.1360799108634206</v>
      </c>
      <c r="J55" s="18" t="n">
        <v>19</v>
      </c>
      <c r="K55" s="19" t="n">
        <v>26058.35</v>
      </c>
      <c r="L55" s="19" t="n">
        <v>3493.115</v>
      </c>
      <c r="M55" s="35" t="n">
        <v>0.134049738375607</v>
      </c>
      <c r="N55" s="19" t="n">
        <v>589.1923076923077</v>
      </c>
      <c r="O55" s="19" t="n">
        <v>1371.492105263158</v>
      </c>
      <c r="P55" s="19" t="n">
        <v>8989.5</v>
      </c>
      <c r="Q55" s="19" t="n">
        <v>546.831285</v>
      </c>
      <c r="R55" s="19" t="n">
        <v>218.732514</v>
      </c>
    </row>
    <row r="56">
      <c r="A56" s="17" t="inlineStr">
        <is>
          <t>March</t>
        </is>
      </c>
      <c r="B56" s="18" t="n">
        <v>28</v>
      </c>
      <c r="C56" s="19" t="n">
        <v>39759.7</v>
      </c>
      <c r="D56" s="19" t="n">
        <v>5669.41</v>
      </c>
      <c r="E56" s="35" t="n">
        <v>0.142591870663008</v>
      </c>
      <c r="F56" s="18" t="n">
        <v>24</v>
      </c>
      <c r="G56" s="19" t="n">
        <v>28430.3</v>
      </c>
      <c r="H56" s="19" t="n">
        <v>4310.235</v>
      </c>
      <c r="I56" s="35" t="n">
        <v>0.1516070882122243</v>
      </c>
      <c r="J56" s="18" t="n">
        <v>25</v>
      </c>
      <c r="K56" s="19" t="n">
        <v>29464.3</v>
      </c>
      <c r="L56" s="19" t="n">
        <v>4490.684999999999</v>
      </c>
      <c r="M56" s="35" t="n">
        <v>0.152411053376459</v>
      </c>
      <c r="N56" s="19" t="n">
        <v>1419.989285714286</v>
      </c>
      <c r="O56" s="19" t="n">
        <v>1178.572</v>
      </c>
      <c r="P56" s="19" t="n">
        <v>14470.33</v>
      </c>
      <c r="Q56" s="19" t="n">
        <v>880.2301739</v>
      </c>
      <c r="R56" s="19" t="n">
        <v>352.09206956</v>
      </c>
    </row>
    <row r="57">
      <c r="A57" s="17" t="inlineStr">
        <is>
          <t>April</t>
        </is>
      </c>
      <c r="B57" s="18" t="n">
        <v>15</v>
      </c>
      <c r="C57" s="19" t="n">
        <v>19288.35</v>
      </c>
      <c r="D57" s="19" t="n">
        <v>4344.3</v>
      </c>
      <c r="E57" s="35" t="n">
        <v>0.225229218673448</v>
      </c>
      <c r="F57" s="18" t="n">
        <v>19</v>
      </c>
      <c r="G57" s="19" t="n">
        <v>21698.1</v>
      </c>
      <c r="H57" s="19" t="n">
        <v>3830.35</v>
      </c>
      <c r="I57" s="35" t="n">
        <v>0.1765292813656495</v>
      </c>
      <c r="J57" s="18" t="n">
        <v>18</v>
      </c>
      <c r="K57" s="19" t="n">
        <v>21698.1</v>
      </c>
      <c r="L57" s="19" t="n">
        <v>3830.35</v>
      </c>
      <c r="M57" s="35" t="n">
        <v>0.1765292813656495</v>
      </c>
      <c r="N57" s="19" t="n">
        <v>1285.89</v>
      </c>
      <c r="O57" s="19" t="n">
        <v>1205.45</v>
      </c>
      <c r="P57" s="19" t="n">
        <v>12005</v>
      </c>
      <c r="Q57" s="19" t="n">
        <v>730.26415</v>
      </c>
      <c r="R57" s="19" t="n">
        <v>292.10566</v>
      </c>
    </row>
    <row r="59">
      <c r="A59" s="36" t="inlineStr">
        <is>
          <t>PROPOSAL A - PREMIUM-BASED</t>
        </is>
      </c>
    </row>
    <row r="60">
      <c r="A60" s="6" t="inlineStr">
        <is>
          <t>Month</t>
        </is>
      </c>
      <c r="B60" s="6" t="inlineStr">
        <is>
          <t>NB base</t>
        </is>
      </c>
      <c r="C60" s="6" t="inlineStr">
        <is>
          <t>NB col inc</t>
        </is>
      </c>
      <c r="D60" s="6" t="inlineStr">
        <is>
          <t>NB target</t>
        </is>
      </c>
      <c r="E60" s="6" t="inlineStr">
        <is>
          <t>REN base</t>
        </is>
      </c>
      <c r="F60" s="6" t="inlineStr">
        <is>
          <t>REN col inc</t>
        </is>
      </c>
      <c r="G60" s="6" t="inlineStr">
        <is>
          <t>REN target</t>
        </is>
      </c>
      <c r="H60" s="6" t="inlineStr">
        <is>
          <t>RWR target</t>
        </is>
      </c>
      <c r="I60" s="6" t="inlineStr">
        <is>
          <t>Retention</t>
        </is>
      </c>
      <c r="J60" s="6" t="inlineStr">
        <is>
          <t>Total target</t>
        </is>
      </c>
      <c r="K60" s="6" t="inlineStr">
        <is>
          <t>PAID after MIN</t>
        </is>
      </c>
      <c r="L60" s="6" t="inlineStr">
        <is>
          <t>Gates (NB/REN/RWR)</t>
        </is>
      </c>
      <c r="M60" s="6" t="inlineStr">
        <is>
          <t>Safe Net</t>
        </is>
      </c>
      <c r="N60" s="6" t="inlineStr">
        <is>
          <t>vs Current</t>
        </is>
      </c>
      <c r="O60" s="6" t="inlineStr">
        <is>
          <t>Current Bonus</t>
        </is>
      </c>
    </row>
    <row r="61">
      <c r="A61" s="12" t="inlineStr">
        <is>
          <t>January</t>
        </is>
      </c>
      <c r="B61" s="11" t="n">
        <v>155</v>
      </c>
      <c r="C61" s="11" t="n">
        <v>0</v>
      </c>
      <c r="D61" s="11" t="n">
        <v>155</v>
      </c>
      <c r="E61" s="11" t="n">
        <v>144</v>
      </c>
      <c r="F61" s="11" t="n">
        <v>0</v>
      </c>
      <c r="G61" s="11" t="n">
        <v>144</v>
      </c>
      <c r="H61" s="11" t="n">
        <v>72</v>
      </c>
      <c r="I61" s="11" t="n">
        <v>225</v>
      </c>
      <c r="J61" s="11" t="n">
        <v>596</v>
      </c>
      <c r="K61" s="20" t="n">
        <v>369</v>
      </c>
      <c r="L61" s="37" t="inlineStr">
        <is>
          <t>n/Y/n</t>
        </is>
      </c>
      <c r="M61" s="11" t="n">
        <v>1189.1480293</v>
      </c>
      <c r="N61" s="11" t="n">
        <v>-131</v>
      </c>
      <c r="O61" s="11" t="n">
        <v>500</v>
      </c>
    </row>
    <row r="62">
      <c r="A62" s="12" t="inlineStr">
        <is>
          <t>February</t>
        </is>
      </c>
      <c r="B62" s="11" t="n">
        <v>65</v>
      </c>
      <c r="C62" s="11" t="n">
        <v>0</v>
      </c>
      <c r="D62" s="11" t="n">
        <v>65</v>
      </c>
      <c r="E62" s="11" t="n">
        <v>114</v>
      </c>
      <c r="F62" s="11" t="n">
        <v>0</v>
      </c>
      <c r="G62" s="11" t="n">
        <v>114</v>
      </c>
      <c r="H62" s="11" t="n">
        <v>57</v>
      </c>
      <c r="I62" s="11" t="n">
        <v>225</v>
      </c>
      <c r="J62" s="11" t="n">
        <v>461</v>
      </c>
      <c r="K62" s="20" t="n">
        <v>339</v>
      </c>
      <c r="L62" s="37" t="inlineStr">
        <is>
          <t>n/Y/n</t>
        </is>
      </c>
      <c r="M62" s="11" t="n">
        <v>546.831285</v>
      </c>
      <c r="N62" s="11" t="n">
        <v>89</v>
      </c>
      <c r="O62" s="11" t="n">
        <v>250</v>
      </c>
    </row>
    <row r="63">
      <c r="A63" s="12" t="inlineStr">
        <is>
          <t>March</t>
        </is>
      </c>
      <c r="B63" s="11" t="n">
        <v>196</v>
      </c>
      <c r="C63" s="11" t="n">
        <v>0</v>
      </c>
      <c r="D63" s="11" t="n">
        <v>196</v>
      </c>
      <c r="E63" s="11" t="n">
        <v>100</v>
      </c>
      <c r="F63" s="11" t="n">
        <v>0</v>
      </c>
      <c r="G63" s="11" t="n">
        <v>100</v>
      </c>
      <c r="H63" s="11" t="n">
        <v>48</v>
      </c>
      <c r="I63" s="11" t="n">
        <v>225</v>
      </c>
      <c r="J63" s="11" t="n">
        <v>569</v>
      </c>
      <c r="K63" s="20" t="n">
        <v>325</v>
      </c>
      <c r="L63" s="37" t="inlineStr">
        <is>
          <t>n/Y/n</t>
        </is>
      </c>
      <c r="M63" s="11" t="n">
        <v>880.2301739</v>
      </c>
      <c r="N63" s="11" t="n">
        <v>-145</v>
      </c>
      <c r="O63" s="11" t="n">
        <v>470</v>
      </c>
    </row>
    <row r="64">
      <c r="A64" s="12" t="inlineStr">
        <is>
          <t>April</t>
        </is>
      </c>
      <c r="B64" s="11" t="n">
        <v>105</v>
      </c>
      <c r="C64" s="11" t="n">
        <v>0</v>
      </c>
      <c r="D64" s="11" t="n">
        <v>105</v>
      </c>
      <c r="E64" s="11" t="n">
        <v>108</v>
      </c>
      <c r="F64" s="11" t="n">
        <v>0</v>
      </c>
      <c r="G64" s="11" t="n">
        <v>108</v>
      </c>
      <c r="H64" s="11" t="n">
        <v>38</v>
      </c>
      <c r="I64" s="11" t="n">
        <v>225</v>
      </c>
      <c r="J64" s="11" t="n">
        <v>476</v>
      </c>
      <c r="K64" s="20" t="n">
        <v>333</v>
      </c>
      <c r="L64" s="37" t="inlineStr">
        <is>
          <t>n/Y/n</t>
        </is>
      </c>
      <c r="M64" s="11" t="n">
        <v>730.26415</v>
      </c>
      <c r="N64" s="11" t="n">
        <v>83</v>
      </c>
      <c r="O64" s="11" t="n">
        <v>250</v>
      </c>
    </row>
    <row r="65">
      <c r="A65" s="22" t="inlineStr">
        <is>
          <t>4-Month Total</t>
        </is>
      </c>
      <c r="B65" s="38" t="n"/>
      <c r="C65" s="38" t="n"/>
      <c r="D65" s="38" t="n"/>
      <c r="E65" s="38" t="n"/>
      <c r="F65" s="38" t="n"/>
      <c r="G65" s="38" t="n"/>
      <c r="H65" s="38" t="n"/>
      <c r="I65" s="23" t="n">
        <v>2102</v>
      </c>
      <c r="J65" s="23" t="n">
        <v>1366</v>
      </c>
      <c r="K65" s="38" t="n"/>
      <c r="L65" s="38" t="n"/>
      <c r="M65" s="38" t="n"/>
      <c r="N65" s="23" t="n">
        <v>-104</v>
      </c>
      <c r="O65" s="23" t="n">
        <v>1470</v>
      </c>
    </row>
    <row r="67">
      <c r="A67" s="39" t="inlineStr">
        <is>
          <t>PROPOSAL B - COVERAGE-BASED</t>
        </is>
      </c>
    </row>
    <row r="68">
      <c r="A68" s="6" t="inlineStr">
        <is>
          <t>Month</t>
        </is>
      </c>
      <c r="B68" s="6" t="inlineStr">
        <is>
          <t>NB Base ($10 x ct)</t>
        </is>
      </c>
      <c r="C68" s="6" t="inlineStr">
        <is>
          <t>NB Liab Add ($5 x 35%)</t>
        </is>
      </c>
      <c r="D68" s="6" t="inlineStr">
        <is>
          <t>NB Target (w/ kicker)</t>
        </is>
      </c>
      <c r="E68" s="6" t="inlineStr">
        <is>
          <t>REN Base ($6 x ct)</t>
        </is>
      </c>
      <c r="F68" s="6" t="inlineStr">
        <is>
          <t>REN Liab Add ($3 x 30%)</t>
        </is>
      </c>
      <c r="G68" s="6" t="inlineStr">
        <is>
          <t>REN Target (w/ kicker)</t>
        </is>
      </c>
      <c r="H68" s="6" t="inlineStr">
        <is>
          <t>RWR Target (w/ kicker)</t>
        </is>
      </c>
      <c r="I68" s="6" t="inlineStr">
        <is>
          <t>Total Target (no min)</t>
        </is>
      </c>
      <c r="J68" s="6" t="inlineStr">
        <is>
          <t>PAID after MIN</t>
        </is>
      </c>
      <c r="K68" s="6" t="inlineStr">
        <is>
          <t>Gates (NB/REN/RWR)</t>
        </is>
      </c>
      <c r="L68" s="6" t="inlineStr">
        <is>
          <t>Safe Net</t>
        </is>
      </c>
      <c r="M68" s="6" t="inlineStr">
        <is>
          <t>Bonus % SN</t>
        </is>
      </c>
      <c r="N68" s="6" t="inlineStr">
        <is>
          <t>vs Current</t>
        </is>
      </c>
      <c r="O68" s="6" t="inlineStr">
        <is>
          <t>Current Bonus</t>
        </is>
      </c>
    </row>
    <row r="69">
      <c r="A69" s="15" t="inlineStr">
        <is>
          <t>January</t>
        </is>
      </c>
      <c r="B69" s="14" t="n">
        <v>341</v>
      </c>
      <c r="C69" s="14" t="n">
        <v>65.09999999999999</v>
      </c>
      <c r="D69" s="14" t="n">
        <v>446.71</v>
      </c>
      <c r="E69" s="14" t="n">
        <v>168</v>
      </c>
      <c r="F69" s="14" t="n">
        <v>21.6</v>
      </c>
      <c r="G69" s="14" t="n">
        <v>208.56</v>
      </c>
      <c r="H69" s="14" t="n">
        <v>52.8</v>
      </c>
      <c r="I69" s="14" t="n">
        <v>708.0699999999999</v>
      </c>
      <c r="J69" s="21" t="n">
        <v>208.56</v>
      </c>
      <c r="K69" s="37" t="inlineStr">
        <is>
          <t>n/Y/n</t>
        </is>
      </c>
      <c r="L69" s="14" t="n">
        <v>1189.1480293</v>
      </c>
      <c r="M69" s="40" t="n">
        <v>0.5954431093131527</v>
      </c>
      <c r="N69" s="14" t="n">
        <v>-291.44</v>
      </c>
      <c r="O69" s="14" t="n">
        <v>500</v>
      </c>
    </row>
    <row r="70">
      <c r="A70" s="15" t="inlineStr">
        <is>
          <t>February</t>
        </is>
      </c>
      <c r="B70" s="14" t="n">
        <v>143</v>
      </c>
      <c r="C70" s="14" t="n">
        <v>27.3</v>
      </c>
      <c r="D70" s="14" t="n">
        <v>195.845</v>
      </c>
      <c r="E70" s="14" t="n">
        <v>133</v>
      </c>
      <c r="F70" s="14" t="n">
        <v>17.1</v>
      </c>
      <c r="G70" s="14" t="n">
        <v>150.1</v>
      </c>
      <c r="H70" s="14" t="n">
        <v>38</v>
      </c>
      <c r="I70" s="14" t="n">
        <v>383.945</v>
      </c>
      <c r="J70" s="21" t="n">
        <v>150.1</v>
      </c>
      <c r="K70" s="37" t="inlineStr">
        <is>
          <t>n/Y/n</t>
        </is>
      </c>
      <c r="L70" s="14" t="n">
        <v>546.831285</v>
      </c>
      <c r="M70" s="40" t="n">
        <v>0.7021269823653196</v>
      </c>
      <c r="N70" s="14" t="n">
        <v>-99.90000000000001</v>
      </c>
      <c r="O70" s="14" t="n">
        <v>250</v>
      </c>
    </row>
    <row r="71">
      <c r="A71" s="15" t="inlineStr">
        <is>
          <t>March</t>
        </is>
      </c>
      <c r="B71" s="14" t="n">
        <v>308</v>
      </c>
      <c r="C71" s="14" t="n">
        <v>58.8</v>
      </c>
      <c r="D71" s="14" t="n">
        <v>366.8</v>
      </c>
      <c r="E71" s="14" t="n">
        <v>175</v>
      </c>
      <c r="F71" s="14" t="n">
        <v>22.5</v>
      </c>
      <c r="G71" s="14" t="n">
        <v>217.25</v>
      </c>
      <c r="H71" s="14" t="n">
        <v>52.8</v>
      </c>
      <c r="I71" s="14" t="n">
        <v>636.85</v>
      </c>
      <c r="J71" s="21" t="n">
        <v>217.25</v>
      </c>
      <c r="K71" s="37" t="inlineStr">
        <is>
          <t>n/Y/n</t>
        </is>
      </c>
      <c r="L71" s="14" t="n">
        <v>880.2301739</v>
      </c>
      <c r="M71" s="40" t="n">
        <v>0.7235039412229357</v>
      </c>
      <c r="N71" s="14" t="n">
        <v>-252.75</v>
      </c>
      <c r="O71" s="14" t="n">
        <v>470</v>
      </c>
    </row>
    <row r="72">
      <c r="A72" s="15" t="inlineStr">
        <is>
          <t>April</t>
        </is>
      </c>
      <c r="B72" s="14" t="n">
        <v>165</v>
      </c>
      <c r="C72" s="14" t="n">
        <v>31.5</v>
      </c>
      <c r="D72" s="14" t="n">
        <v>216.15</v>
      </c>
      <c r="E72" s="14" t="n">
        <v>126</v>
      </c>
      <c r="F72" s="14" t="n">
        <v>16.2</v>
      </c>
      <c r="G72" s="14" t="n">
        <v>156.42</v>
      </c>
      <c r="H72" s="14" t="n">
        <v>41.8</v>
      </c>
      <c r="I72" s="14" t="n">
        <v>414.37</v>
      </c>
      <c r="J72" s="21" t="n">
        <v>156.42</v>
      </c>
      <c r="K72" s="37" t="inlineStr">
        <is>
          <t>n/Y/n</t>
        </is>
      </c>
      <c r="L72" s="14" t="n">
        <v>730.26415</v>
      </c>
      <c r="M72" s="40" t="n">
        <v>0.5674248147057472</v>
      </c>
      <c r="N72" s="14" t="n">
        <v>-93.58000000000001</v>
      </c>
      <c r="O72" s="14" t="n">
        <v>250</v>
      </c>
    </row>
    <row r="73">
      <c r="A73" s="22" t="inlineStr">
        <is>
          <t>4-Month Total</t>
        </is>
      </c>
      <c r="B73" s="38" t="n"/>
      <c r="C73" s="38" t="n"/>
      <c r="D73" s="38" t="n"/>
      <c r="E73" s="38" t="n"/>
      <c r="F73" s="38" t="n"/>
      <c r="G73" s="38" t="n"/>
      <c r="H73" s="38" t="n"/>
      <c r="I73" s="23" t="n">
        <v>2143.235</v>
      </c>
      <c r="J73" s="23" t="n">
        <v>732.3299999999999</v>
      </c>
      <c r="K73" s="38" t="n"/>
      <c r="L73" s="38" t="n"/>
      <c r="M73" s="38" t="n"/>
      <c r="N73" s="23" t="n">
        <v>-737.6700000000001</v>
      </c>
      <c r="O73" s="23" t="n">
        <v>1470</v>
      </c>
    </row>
    <row r="76" ht="22" customHeight="1">
      <c r="A76" s="5" t="inlineStr">
        <is>
          <t>Flavia Parra</t>
        </is>
      </c>
    </row>
    <row r="77">
      <c r="A77" s="6" t="inlineStr">
        <is>
          <t>Month</t>
        </is>
      </c>
      <c r="B77" s="6" t="inlineStr">
        <is>
          <t>NB Count</t>
        </is>
      </c>
      <c r="C77" s="6" t="inlineStr">
        <is>
          <t>NB Premium</t>
        </is>
      </c>
      <c r="D77" s="6" t="inlineStr">
        <is>
          <t>NB Collected</t>
        </is>
      </c>
      <c r="E77" s="6" t="inlineStr">
        <is>
          <t>NB Coll %</t>
        </is>
      </c>
      <c r="F77" s="6" t="inlineStr">
        <is>
          <t>RWR Count</t>
        </is>
      </c>
      <c r="G77" s="6" t="inlineStr">
        <is>
          <t>RWR Premium</t>
        </is>
      </c>
      <c r="H77" s="6" t="inlineStr">
        <is>
          <t>RWR Collected</t>
        </is>
      </c>
      <c r="I77" s="6" t="inlineStr">
        <is>
          <t>RWR Coll %</t>
        </is>
      </c>
      <c r="J77" s="6" t="inlineStr">
        <is>
          <t>REN Count</t>
        </is>
      </c>
      <c r="K77" s="6" t="inlineStr">
        <is>
          <t>REN Premium</t>
        </is>
      </c>
      <c r="L77" s="6" t="inlineStr">
        <is>
          <t>REN Collected</t>
        </is>
      </c>
      <c r="M77" s="6" t="inlineStr">
        <is>
          <t>REN Coll %</t>
        </is>
      </c>
      <c r="N77" s="6" t="inlineStr">
        <is>
          <t>Avg NB Prem</t>
        </is>
      </c>
      <c r="O77" s="6" t="inlineStr">
        <is>
          <t>Avg REN Prem</t>
        </is>
      </c>
      <c r="P77" s="6" t="inlineStr">
        <is>
          <t>Total Collected</t>
        </is>
      </c>
      <c r="Q77" s="6" t="inlineStr">
        <is>
          <t>Safe Net</t>
        </is>
      </c>
      <c r="R77" s="6" t="inlineStr">
        <is>
          <t>Cap</t>
        </is>
      </c>
    </row>
    <row r="78">
      <c r="A78" s="17" t="inlineStr">
        <is>
          <t>January</t>
        </is>
      </c>
      <c r="B78" s="18" t="n">
        <v>19</v>
      </c>
      <c r="C78" s="19" t="n">
        <v>28525.05</v>
      </c>
      <c r="D78" s="19" t="n">
        <v>5657.4</v>
      </c>
      <c r="E78" s="35" t="n">
        <v>0.1983309406994904</v>
      </c>
      <c r="F78" s="18" t="n">
        <v>17</v>
      </c>
      <c r="G78" s="19" t="n">
        <v>19779.025</v>
      </c>
      <c r="H78" s="19" t="n">
        <v>4397.645</v>
      </c>
      <c r="I78" s="35" t="n">
        <v>0.2223388159932049</v>
      </c>
      <c r="J78" s="18" t="n">
        <v>19</v>
      </c>
      <c r="K78" s="19" t="n">
        <v>21243.375</v>
      </c>
      <c r="L78" s="19" t="n">
        <v>4699.765</v>
      </c>
      <c r="M78" s="35" t="n">
        <v>0.2212343848376259</v>
      </c>
      <c r="N78" s="19" t="n">
        <v>1501.318421052631</v>
      </c>
      <c r="O78" s="19" t="n">
        <v>1118.072368421053</v>
      </c>
      <c r="P78" s="19" t="n">
        <v>14754.81</v>
      </c>
      <c r="Q78" s="19" t="n">
        <v>897.5350923</v>
      </c>
      <c r="R78" s="19" t="n">
        <v>359.01403692</v>
      </c>
    </row>
    <row r="79">
      <c r="A79" s="17" t="inlineStr">
        <is>
          <t>February</t>
        </is>
      </c>
      <c r="B79" s="18" t="n">
        <v>23</v>
      </c>
      <c r="C79" s="19" t="n">
        <v>22247.7</v>
      </c>
      <c r="D79" s="19" t="n">
        <v>3832.59</v>
      </c>
      <c r="E79" s="35" t="n">
        <v>0.1722690435415796</v>
      </c>
      <c r="F79" s="18" t="n">
        <v>21</v>
      </c>
      <c r="G79" s="19" t="n">
        <v>21843.725</v>
      </c>
      <c r="H79" s="19" t="n">
        <v>6910.045</v>
      </c>
      <c r="I79" s="35" t="n">
        <v>0.3163400473133589</v>
      </c>
      <c r="J79" s="18" t="n">
        <v>23</v>
      </c>
      <c r="K79" s="19" t="n">
        <v>23942.725</v>
      </c>
      <c r="L79" s="19" t="n">
        <v>7231.055</v>
      </c>
      <c r="M79" s="35" t="n">
        <v>0.3020147038401018</v>
      </c>
      <c r="N79" s="19" t="n">
        <v>967.2913043478261</v>
      </c>
      <c r="O79" s="19" t="n">
        <v>1040.988043478261</v>
      </c>
      <c r="P79" s="19" t="n">
        <v>17973.69</v>
      </c>
      <c r="Q79" s="19" t="n">
        <v>1093.3395627</v>
      </c>
      <c r="R79" s="19" t="n">
        <v>437.3358250800001</v>
      </c>
    </row>
    <row r="80">
      <c r="A80" s="17" t="inlineStr">
        <is>
          <t>March</t>
        </is>
      </c>
      <c r="B80" s="18" t="n">
        <v>27</v>
      </c>
      <c r="C80" s="19" t="n">
        <v>31269</v>
      </c>
      <c r="D80" s="19" t="n">
        <v>8642.02</v>
      </c>
      <c r="E80" s="35" t="n">
        <v>0.2763766030253606</v>
      </c>
      <c r="F80" s="18" t="n">
        <v>13</v>
      </c>
      <c r="G80" s="19" t="n">
        <v>11763.35</v>
      </c>
      <c r="H80" s="19" t="n">
        <v>4530.315</v>
      </c>
      <c r="I80" s="35" t="n">
        <v>0.3851211602137146</v>
      </c>
      <c r="J80" s="18" t="n">
        <v>14</v>
      </c>
      <c r="K80" s="19" t="n">
        <v>11763.35</v>
      </c>
      <c r="L80" s="19" t="n">
        <v>4530.315</v>
      </c>
      <c r="M80" s="35" t="n">
        <v>0.3851211602137146</v>
      </c>
      <c r="N80" s="19" t="n">
        <v>1158.111111111111</v>
      </c>
      <c r="O80" s="19" t="n">
        <v>840.2392857142858</v>
      </c>
      <c r="P80" s="19" t="n">
        <v>17702.65</v>
      </c>
      <c r="Q80" s="19" t="n">
        <v>1076.8521995</v>
      </c>
      <c r="R80" s="19" t="n">
        <v>430.7408798</v>
      </c>
    </row>
    <row r="81">
      <c r="A81" s="17" t="inlineStr">
        <is>
          <t>April</t>
        </is>
      </c>
      <c r="B81" s="18" t="n">
        <v>23</v>
      </c>
      <c r="C81" s="19" t="n">
        <v>29581.05</v>
      </c>
      <c r="D81" s="19" t="n">
        <v>6600.51</v>
      </c>
      <c r="E81" s="35" t="n">
        <v>0.2231330530863509</v>
      </c>
      <c r="F81" s="18" t="n">
        <v>15</v>
      </c>
      <c r="G81" s="19" t="n">
        <v>15416.38</v>
      </c>
      <c r="H81" s="19" t="n">
        <v>3855.31</v>
      </c>
      <c r="I81" s="35" t="n">
        <v>0.2500788122762931</v>
      </c>
      <c r="J81" s="18" t="n">
        <v>17</v>
      </c>
      <c r="K81" s="19" t="n">
        <v>16301.38</v>
      </c>
      <c r="L81" s="19" t="n">
        <v>4740.309999999999</v>
      </c>
      <c r="M81" s="35" t="n">
        <v>0.2907919452218156</v>
      </c>
      <c r="N81" s="19" t="n">
        <v>1286.132608695652</v>
      </c>
      <c r="O81" s="19" t="n">
        <v>958.9047058823529</v>
      </c>
      <c r="P81" s="19" t="n">
        <v>15196.13</v>
      </c>
      <c r="Q81" s="19" t="n">
        <v>924.3805879</v>
      </c>
      <c r="R81" s="19" t="n">
        <v>369.7522351600001</v>
      </c>
    </row>
    <row r="83">
      <c r="A83" s="36" t="inlineStr">
        <is>
          <t>PROPOSAL A - PREMIUM-BASED</t>
        </is>
      </c>
    </row>
    <row r="84">
      <c r="A84" s="6" t="inlineStr">
        <is>
          <t>Month</t>
        </is>
      </c>
      <c r="B84" s="6" t="inlineStr">
        <is>
          <t>NB base</t>
        </is>
      </c>
      <c r="C84" s="6" t="inlineStr">
        <is>
          <t>NB col inc</t>
        </is>
      </c>
      <c r="D84" s="6" t="inlineStr">
        <is>
          <t>NB target</t>
        </is>
      </c>
      <c r="E84" s="6" t="inlineStr">
        <is>
          <t>REN base</t>
        </is>
      </c>
      <c r="F84" s="6" t="inlineStr">
        <is>
          <t>REN col inc</t>
        </is>
      </c>
      <c r="G84" s="6" t="inlineStr">
        <is>
          <t>REN target</t>
        </is>
      </c>
      <c r="H84" s="6" t="inlineStr">
        <is>
          <t>RWR target</t>
        </is>
      </c>
      <c r="I84" s="6" t="inlineStr">
        <is>
          <t>Retention</t>
        </is>
      </c>
      <c r="J84" s="6" t="inlineStr">
        <is>
          <t>Total target</t>
        </is>
      </c>
      <c r="K84" s="6" t="inlineStr">
        <is>
          <t>PAID after MIN</t>
        </is>
      </c>
      <c r="L84" s="6" t="inlineStr">
        <is>
          <t>Gates (NB/REN/RWR)</t>
        </is>
      </c>
      <c r="M84" s="6" t="inlineStr">
        <is>
          <t>Safe Net</t>
        </is>
      </c>
      <c r="N84" s="6" t="inlineStr">
        <is>
          <t>vs Current</t>
        </is>
      </c>
      <c r="O84" s="6" t="inlineStr">
        <is>
          <t>Current Bonus</t>
        </is>
      </c>
    </row>
    <row r="85">
      <c r="A85" s="12" t="inlineStr">
        <is>
          <t>January</t>
        </is>
      </c>
      <c r="B85" s="11" t="n">
        <v>133</v>
      </c>
      <c r="C85" s="11" t="n">
        <v>0</v>
      </c>
      <c r="D85" s="11" t="n">
        <v>133</v>
      </c>
      <c r="E85" s="11" t="n">
        <v>76</v>
      </c>
      <c r="F85" s="11" t="n">
        <v>0</v>
      </c>
      <c r="G85" s="11" t="n">
        <v>76</v>
      </c>
      <c r="H85" s="11" t="n">
        <v>34</v>
      </c>
      <c r="I85" s="11" t="n">
        <v>225</v>
      </c>
      <c r="J85" s="11" t="n">
        <v>468</v>
      </c>
      <c r="K85" s="20" t="n">
        <v>301</v>
      </c>
      <c r="L85" s="37" t="inlineStr">
        <is>
          <t>n/Y/n</t>
        </is>
      </c>
      <c r="M85" s="11" t="n">
        <v>897.5350923</v>
      </c>
      <c r="N85" s="11" t="n">
        <v>-49</v>
      </c>
      <c r="O85" s="11" t="n">
        <v>350</v>
      </c>
    </row>
    <row r="86">
      <c r="A86" s="12" t="inlineStr">
        <is>
          <t>February</t>
        </is>
      </c>
      <c r="B86" s="11" t="n">
        <v>115</v>
      </c>
      <c r="C86" s="11" t="n">
        <v>0</v>
      </c>
      <c r="D86" s="11" t="n">
        <v>115</v>
      </c>
      <c r="E86" s="11" t="n">
        <v>92</v>
      </c>
      <c r="F86" s="11" t="n">
        <v>11.26969444444444</v>
      </c>
      <c r="G86" s="11" t="n">
        <v>103.2696944444444</v>
      </c>
      <c r="H86" s="11" t="n">
        <v>52.27080555555555</v>
      </c>
      <c r="I86" s="11" t="n">
        <v>225</v>
      </c>
      <c r="J86" s="11" t="n">
        <v>495.5405</v>
      </c>
      <c r="K86" s="20" t="n">
        <v>328.2696944444444</v>
      </c>
      <c r="L86" s="37" t="inlineStr">
        <is>
          <t>n/Y/n</t>
        </is>
      </c>
      <c r="M86" s="11" t="n">
        <v>1093.3395627</v>
      </c>
      <c r="N86" s="11" t="n">
        <v>-21.73030555555556</v>
      </c>
      <c r="O86" s="11" t="n">
        <v>350</v>
      </c>
    </row>
    <row r="87">
      <c r="A87" s="12" t="inlineStr">
        <is>
          <t>March</t>
        </is>
      </c>
      <c r="B87" s="11" t="n">
        <v>135</v>
      </c>
      <c r="C87" s="11" t="n">
        <v>16.74333333333333</v>
      </c>
      <c r="D87" s="11" t="n">
        <v>151.7433333333333</v>
      </c>
      <c r="E87" s="11" t="n">
        <v>56</v>
      </c>
      <c r="F87" s="11" t="n">
        <v>3.737055555555556</v>
      </c>
      <c r="G87" s="11" t="n">
        <v>59.73705555555556</v>
      </c>
      <c r="H87" s="11" t="n">
        <v>30.40372222222222</v>
      </c>
      <c r="I87" s="11" t="n">
        <v>225</v>
      </c>
      <c r="J87" s="11" t="n">
        <v>466.8841111111111</v>
      </c>
      <c r="K87" s="20" t="n">
        <v>284.7370555555556</v>
      </c>
      <c r="L87" s="37" t="inlineStr">
        <is>
          <t>n/Y/n</t>
        </is>
      </c>
      <c r="M87" s="11" t="n">
        <v>1076.8521995</v>
      </c>
      <c r="N87" s="11" t="n">
        <v>-65.26294444444443</v>
      </c>
      <c r="O87" s="11" t="n">
        <v>350</v>
      </c>
    </row>
    <row r="88">
      <c r="A88" s="12" t="inlineStr">
        <is>
          <t>April</t>
        </is>
      </c>
      <c r="B88" s="11" t="n">
        <v>161</v>
      </c>
      <c r="C88" s="11" t="n">
        <v>0</v>
      </c>
      <c r="D88" s="11" t="n">
        <v>161</v>
      </c>
      <c r="E88" s="11" t="n">
        <v>68</v>
      </c>
      <c r="F88" s="11" t="n">
        <v>6.77931111111111</v>
      </c>
      <c r="G88" s="11" t="n">
        <v>74.77931111111111</v>
      </c>
      <c r="H88" s="11" t="n">
        <v>37.12931111111111</v>
      </c>
      <c r="I88" s="11" t="n">
        <v>225</v>
      </c>
      <c r="J88" s="11" t="n">
        <v>497.9086222222222</v>
      </c>
      <c r="K88" s="20" t="n">
        <v>299.7793111111111</v>
      </c>
      <c r="L88" s="37" t="inlineStr">
        <is>
          <t>n/Y/n</t>
        </is>
      </c>
      <c r="M88" s="11" t="n">
        <v>924.3805879</v>
      </c>
      <c r="N88" s="11" t="n">
        <v>-50.2206888888889</v>
      </c>
      <c r="O88" s="11" t="n">
        <v>350</v>
      </c>
    </row>
    <row r="89">
      <c r="A89" s="22" t="inlineStr">
        <is>
          <t>4-Month Total</t>
        </is>
      </c>
      <c r="B89" s="38" t="n"/>
      <c r="C89" s="38" t="n"/>
      <c r="D89" s="38" t="n"/>
      <c r="E89" s="38" t="n"/>
      <c r="F89" s="38" t="n"/>
      <c r="G89" s="38" t="n"/>
      <c r="H89" s="38" t="n"/>
      <c r="I89" s="23" t="n">
        <v>1928.333233333333</v>
      </c>
      <c r="J89" s="23" t="n">
        <v>1213.786061111111</v>
      </c>
      <c r="K89" s="38" t="n"/>
      <c r="L89" s="38" t="n"/>
      <c r="M89" s="38" t="n"/>
      <c r="N89" s="23" t="n">
        <v>-186.2139388888888</v>
      </c>
      <c r="O89" s="23" t="n">
        <v>1400</v>
      </c>
    </row>
    <row r="91">
      <c r="A91" s="39" t="inlineStr">
        <is>
          <t>PROPOSAL B - COVERAGE-BASED</t>
        </is>
      </c>
    </row>
    <row r="92">
      <c r="A92" s="6" t="inlineStr">
        <is>
          <t>Month</t>
        </is>
      </c>
      <c r="B92" s="6" t="inlineStr">
        <is>
          <t>NB Base ($10 x ct)</t>
        </is>
      </c>
      <c r="C92" s="6" t="inlineStr">
        <is>
          <t>NB Liab Add ($5 x 35%)</t>
        </is>
      </c>
      <c r="D92" s="6" t="inlineStr">
        <is>
          <t>NB Target (w/ kicker)</t>
        </is>
      </c>
      <c r="E92" s="6" t="inlineStr">
        <is>
          <t>REN Base ($6 x ct)</t>
        </is>
      </c>
      <c r="F92" s="6" t="inlineStr">
        <is>
          <t>REN Liab Add ($3 x 30%)</t>
        </is>
      </c>
      <c r="G92" s="6" t="inlineStr">
        <is>
          <t>REN Target (w/ kicker)</t>
        </is>
      </c>
      <c r="H92" s="6" t="inlineStr">
        <is>
          <t>RWR Target (w/ kicker)</t>
        </is>
      </c>
      <c r="I92" s="6" t="inlineStr">
        <is>
          <t>Total Target (no min)</t>
        </is>
      </c>
      <c r="J92" s="6" t="inlineStr">
        <is>
          <t>PAID after MIN</t>
        </is>
      </c>
      <c r="K92" s="6" t="inlineStr">
        <is>
          <t>Gates (NB/REN/RWR)</t>
        </is>
      </c>
      <c r="L92" s="6" t="inlineStr">
        <is>
          <t>Safe Net</t>
        </is>
      </c>
      <c r="M92" s="6" t="inlineStr">
        <is>
          <t>Bonus % SN</t>
        </is>
      </c>
      <c r="N92" s="6" t="inlineStr">
        <is>
          <t>vs Current</t>
        </is>
      </c>
      <c r="O92" s="6" t="inlineStr">
        <is>
          <t>Current Bonus</t>
        </is>
      </c>
    </row>
    <row r="93">
      <c r="A93" s="15" t="inlineStr">
        <is>
          <t>January</t>
        </is>
      </c>
      <c r="B93" s="14" t="n">
        <v>209</v>
      </c>
      <c r="C93" s="14" t="n">
        <v>39.9</v>
      </c>
      <c r="D93" s="14" t="n">
        <v>273.79</v>
      </c>
      <c r="E93" s="14" t="n">
        <v>133</v>
      </c>
      <c r="F93" s="14" t="n">
        <v>17.1</v>
      </c>
      <c r="G93" s="14" t="n">
        <v>165.11</v>
      </c>
      <c r="H93" s="14" t="n">
        <v>37.40000000000001</v>
      </c>
      <c r="I93" s="14" t="n">
        <v>476.3000000000001</v>
      </c>
      <c r="J93" s="21" t="n">
        <v>165.11</v>
      </c>
      <c r="K93" s="37" t="inlineStr">
        <is>
          <t>n/Y/n</t>
        </is>
      </c>
      <c r="L93" s="14" t="n">
        <v>897.5350923</v>
      </c>
      <c r="M93" s="40" t="n">
        <v>0.5306756293834106</v>
      </c>
      <c r="N93" s="14" t="n">
        <v>-184.89</v>
      </c>
      <c r="O93" s="14" t="n">
        <v>350</v>
      </c>
    </row>
    <row r="94">
      <c r="A94" s="15" t="inlineStr">
        <is>
          <t>February</t>
        </is>
      </c>
      <c r="B94" s="14" t="n">
        <v>253</v>
      </c>
      <c r="C94" s="14" t="n">
        <v>48.3</v>
      </c>
      <c r="D94" s="14" t="n">
        <v>331.4300000000001</v>
      </c>
      <c r="E94" s="14" t="n">
        <v>161</v>
      </c>
      <c r="F94" s="14" t="n">
        <v>20.7</v>
      </c>
      <c r="G94" s="14" t="n">
        <v>208.955</v>
      </c>
      <c r="H94" s="14" t="n">
        <v>48.3</v>
      </c>
      <c r="I94" s="14" t="n">
        <v>588.6849999999999</v>
      </c>
      <c r="J94" s="21" t="n">
        <v>208.955</v>
      </c>
      <c r="K94" s="37" t="inlineStr">
        <is>
          <t>n/Y/n</t>
        </is>
      </c>
      <c r="L94" s="14" t="n">
        <v>1093.3395627</v>
      </c>
      <c r="M94" s="40" t="n">
        <v>0.5384283346943408</v>
      </c>
      <c r="N94" s="14" t="n">
        <v>-141.045</v>
      </c>
      <c r="O94" s="14" t="n">
        <v>350</v>
      </c>
    </row>
    <row r="95">
      <c r="A95" s="15" t="inlineStr">
        <is>
          <t>March</t>
        </is>
      </c>
      <c r="B95" s="14" t="n">
        <v>297</v>
      </c>
      <c r="C95" s="14" t="n">
        <v>56.7</v>
      </c>
      <c r="D95" s="14" t="n">
        <v>406.7549999999999</v>
      </c>
      <c r="E95" s="14" t="n">
        <v>98</v>
      </c>
      <c r="F95" s="14" t="n">
        <v>12.6</v>
      </c>
      <c r="G95" s="14" t="n">
        <v>127.19</v>
      </c>
      <c r="H95" s="14" t="n">
        <v>29.9</v>
      </c>
      <c r="I95" s="14" t="n">
        <v>563.8449999999999</v>
      </c>
      <c r="J95" s="21" t="n">
        <v>127.19</v>
      </c>
      <c r="K95" s="37" t="inlineStr">
        <is>
          <t>n/Y/n</t>
        </is>
      </c>
      <c r="L95" s="14" t="n">
        <v>1076.8521995</v>
      </c>
      <c r="M95" s="40" t="n">
        <v>0.5236048180630567</v>
      </c>
      <c r="N95" s="14" t="n">
        <v>-222.81</v>
      </c>
      <c r="O95" s="14" t="n">
        <v>350</v>
      </c>
    </row>
    <row r="96">
      <c r="A96" s="15" t="inlineStr">
        <is>
          <t>April</t>
        </is>
      </c>
      <c r="B96" s="14" t="n">
        <v>253</v>
      </c>
      <c r="C96" s="14" t="n">
        <v>48.3</v>
      </c>
      <c r="D96" s="14" t="n">
        <v>331.4300000000001</v>
      </c>
      <c r="E96" s="14" t="n">
        <v>119</v>
      </c>
      <c r="F96" s="14" t="n">
        <v>15.3</v>
      </c>
      <c r="G96" s="14" t="n">
        <v>154.445</v>
      </c>
      <c r="H96" s="14" t="n">
        <v>34.5</v>
      </c>
      <c r="I96" s="14" t="n">
        <v>520.375</v>
      </c>
      <c r="J96" s="21" t="n">
        <v>154.445</v>
      </c>
      <c r="K96" s="37" t="inlineStr">
        <is>
          <t>n/Y/n</t>
        </is>
      </c>
      <c r="L96" s="14" t="n">
        <v>924.3805879</v>
      </c>
      <c r="M96" s="40" t="n">
        <v>0.5629445347637422</v>
      </c>
      <c r="N96" s="14" t="n">
        <v>-195.555</v>
      </c>
      <c r="O96" s="14" t="n">
        <v>350</v>
      </c>
    </row>
    <row r="97">
      <c r="A97" s="22" t="inlineStr">
        <is>
          <t>4-Month Total</t>
        </is>
      </c>
      <c r="B97" s="38" t="n"/>
      <c r="C97" s="38" t="n"/>
      <c r="D97" s="38" t="n"/>
      <c r="E97" s="38" t="n"/>
      <c r="F97" s="38" t="n"/>
      <c r="G97" s="38" t="n"/>
      <c r="H97" s="38" t="n"/>
      <c r="I97" s="23" t="n">
        <v>2149.205</v>
      </c>
      <c r="J97" s="23" t="n">
        <v>655.7</v>
      </c>
      <c r="K97" s="38" t="n"/>
      <c r="L97" s="38" t="n"/>
      <c r="M97" s="38" t="n"/>
      <c r="N97" s="23" t="n">
        <v>-744.3</v>
      </c>
      <c r="O97" s="23" t="n">
        <v>1400</v>
      </c>
    </row>
    <row r="100" ht="22" customHeight="1">
      <c r="A100" s="5" t="inlineStr">
        <is>
          <t>Thalia Rojas</t>
        </is>
      </c>
    </row>
    <row r="101">
      <c r="A101" s="6" t="inlineStr">
        <is>
          <t>Month</t>
        </is>
      </c>
      <c r="B101" s="6" t="inlineStr">
        <is>
          <t>NB Count</t>
        </is>
      </c>
      <c r="C101" s="6" t="inlineStr">
        <is>
          <t>NB Premium</t>
        </is>
      </c>
      <c r="D101" s="6" t="inlineStr">
        <is>
          <t>NB Collected</t>
        </is>
      </c>
      <c r="E101" s="6" t="inlineStr">
        <is>
          <t>NB Coll %</t>
        </is>
      </c>
      <c r="F101" s="6" t="inlineStr">
        <is>
          <t>RWR Count</t>
        </is>
      </c>
      <c r="G101" s="6" t="inlineStr">
        <is>
          <t>RWR Premium</t>
        </is>
      </c>
      <c r="H101" s="6" t="inlineStr">
        <is>
          <t>RWR Collected</t>
        </is>
      </c>
      <c r="I101" s="6" t="inlineStr">
        <is>
          <t>RWR Coll %</t>
        </is>
      </c>
      <c r="J101" s="6" t="inlineStr">
        <is>
          <t>REN Count</t>
        </is>
      </c>
      <c r="K101" s="6" t="inlineStr">
        <is>
          <t>REN Premium</t>
        </is>
      </c>
      <c r="L101" s="6" t="inlineStr">
        <is>
          <t>REN Collected</t>
        </is>
      </c>
      <c r="M101" s="6" t="inlineStr">
        <is>
          <t>REN Coll %</t>
        </is>
      </c>
      <c r="N101" s="6" t="inlineStr">
        <is>
          <t>Avg NB Prem</t>
        </is>
      </c>
      <c r="O101" s="6" t="inlineStr">
        <is>
          <t>Avg REN Prem</t>
        </is>
      </c>
      <c r="P101" s="6" t="inlineStr">
        <is>
          <t>Total Collected</t>
        </is>
      </c>
      <c r="Q101" s="6" t="inlineStr">
        <is>
          <t>Safe Net</t>
        </is>
      </c>
      <c r="R101" s="6" t="inlineStr">
        <is>
          <t>Cap</t>
        </is>
      </c>
    </row>
    <row r="102">
      <c r="A102" s="17" t="inlineStr">
        <is>
          <t>January</t>
        </is>
      </c>
      <c r="B102" s="18" t="n">
        <v>10</v>
      </c>
      <c r="C102" s="19" t="n">
        <v>15503.9</v>
      </c>
      <c r="D102" s="19" t="n">
        <v>2238.28</v>
      </c>
      <c r="E102" s="35" t="n">
        <v>0.1443688362283039</v>
      </c>
      <c r="F102" s="18" t="n">
        <v>14</v>
      </c>
      <c r="G102" s="19" t="n">
        <v>16541.965</v>
      </c>
      <c r="H102" s="19" t="n">
        <v>3230.74</v>
      </c>
      <c r="I102" s="35" t="n">
        <v>0.1953056967536807</v>
      </c>
      <c r="J102" s="18" t="n">
        <v>18</v>
      </c>
      <c r="K102" s="19" t="n">
        <v>20231.965</v>
      </c>
      <c r="L102" s="19" t="n">
        <v>3872.78</v>
      </c>
      <c r="M102" s="35" t="n">
        <v>0.1914188760211873</v>
      </c>
      <c r="N102" s="19" t="n">
        <v>1550.39</v>
      </c>
      <c r="O102" s="19" t="n">
        <v>1123.998055555556</v>
      </c>
      <c r="P102" s="19" t="n">
        <v>9341.799999999999</v>
      </c>
      <c r="Q102" s="19" t="n">
        <v>568.2616939999999</v>
      </c>
      <c r="R102" s="19" t="n">
        <v>227.3046776</v>
      </c>
    </row>
    <row r="103">
      <c r="A103" s="17" t="inlineStr">
        <is>
          <t>February</t>
        </is>
      </c>
      <c r="B103" s="18" t="n">
        <v>14</v>
      </c>
      <c r="C103" s="19" t="n">
        <v>19414.25</v>
      </c>
      <c r="D103" s="19" t="n">
        <v>3640.91</v>
      </c>
      <c r="E103" s="35" t="n">
        <v>0.1875380197535315</v>
      </c>
      <c r="F103" s="18" t="n">
        <v>12</v>
      </c>
      <c r="G103" s="19" t="n">
        <v>14149.08</v>
      </c>
      <c r="H103" s="19" t="n">
        <v>2638.06</v>
      </c>
      <c r="I103" s="35" t="n">
        <v>0.186447458067945</v>
      </c>
      <c r="J103" s="18" t="n">
        <v>17</v>
      </c>
      <c r="K103" s="19" t="n">
        <v>21595.08</v>
      </c>
      <c r="L103" s="19" t="n">
        <v>5931.2</v>
      </c>
      <c r="M103" s="35" t="n">
        <v>0.2746551529329829</v>
      </c>
      <c r="N103" s="19" t="n">
        <v>1386.732142857143</v>
      </c>
      <c r="O103" s="19" t="n">
        <v>1270.298823529412</v>
      </c>
      <c r="P103" s="19" t="n">
        <v>12210.17</v>
      </c>
      <c r="Q103" s="19" t="n">
        <v>742.7446410999999</v>
      </c>
      <c r="R103" s="19" t="n">
        <v>297.0978564399999</v>
      </c>
    </row>
    <row r="104">
      <c r="A104" s="17" t="inlineStr">
        <is>
          <t>March</t>
        </is>
      </c>
      <c r="B104" s="18" t="n">
        <v>19</v>
      </c>
      <c r="C104" s="19" t="n">
        <v>17843.69</v>
      </c>
      <c r="D104" s="19" t="n">
        <v>4965.76</v>
      </c>
      <c r="E104" s="35" t="n">
        <v>0.2782922142225067</v>
      </c>
      <c r="F104" s="18" t="n">
        <v>9</v>
      </c>
      <c r="G104" s="19" t="n">
        <v>9920.424999999999</v>
      </c>
      <c r="H104" s="19" t="n">
        <v>1990.82</v>
      </c>
      <c r="I104" s="35" t="n">
        <v>0.2006789023655741</v>
      </c>
      <c r="J104" s="18" t="n">
        <v>16</v>
      </c>
      <c r="K104" s="19" t="n">
        <v>15564.325</v>
      </c>
      <c r="L104" s="19" t="n">
        <v>3566.68</v>
      </c>
      <c r="M104" s="35" t="n">
        <v>0.2291573839533677</v>
      </c>
      <c r="N104" s="19" t="n">
        <v>939.1415789473683</v>
      </c>
      <c r="O104" s="19" t="n">
        <v>972.7703124999999</v>
      </c>
      <c r="P104" s="19" t="n">
        <v>10523.26</v>
      </c>
      <c r="Q104" s="19" t="n">
        <v>640.1299058</v>
      </c>
      <c r="R104" s="19" t="n">
        <v>256.05196232</v>
      </c>
    </row>
    <row r="105">
      <c r="A105" s="17" t="inlineStr">
        <is>
          <t>April</t>
        </is>
      </c>
      <c r="B105" s="18" t="n">
        <v>9</v>
      </c>
      <c r="C105" s="19" t="n">
        <v>14099</v>
      </c>
      <c r="D105" s="19" t="n">
        <v>3941.94</v>
      </c>
      <c r="E105" s="35" t="n">
        <v>0.2795900418469395</v>
      </c>
      <c r="F105" s="18" t="n">
        <v>15</v>
      </c>
      <c r="G105" s="19" t="n">
        <v>19897.2</v>
      </c>
      <c r="H105" s="19" t="n">
        <v>3837.45</v>
      </c>
      <c r="I105" s="35" t="n">
        <v>0.1928638200349798</v>
      </c>
      <c r="J105" s="18" t="n">
        <v>17</v>
      </c>
      <c r="K105" s="19" t="n">
        <v>23514.2</v>
      </c>
      <c r="L105" s="19" t="n">
        <v>6934.03</v>
      </c>
      <c r="M105" s="35" t="n">
        <v>0.2948869193933878</v>
      </c>
      <c r="N105" s="19" t="n">
        <v>1566.555555555556</v>
      </c>
      <c r="O105" s="19" t="n">
        <v>1383.188235294118</v>
      </c>
      <c r="P105" s="19" t="n">
        <v>14713.42</v>
      </c>
      <c r="Q105" s="19" t="n">
        <v>895.0173385999999</v>
      </c>
      <c r="R105" s="19" t="n">
        <v>358.00693544</v>
      </c>
    </row>
    <row r="107">
      <c r="A107" s="36" t="inlineStr">
        <is>
          <t>PROPOSAL A - PREMIUM-BASED</t>
        </is>
      </c>
    </row>
    <row r="108">
      <c r="A108" s="6" t="inlineStr">
        <is>
          <t>Month</t>
        </is>
      </c>
      <c r="B108" s="6" t="inlineStr">
        <is>
          <t>NB base</t>
        </is>
      </c>
      <c r="C108" s="6" t="inlineStr">
        <is>
          <t>NB col inc</t>
        </is>
      </c>
      <c r="D108" s="6" t="inlineStr">
        <is>
          <t>NB target</t>
        </is>
      </c>
      <c r="E108" s="6" t="inlineStr">
        <is>
          <t>REN base</t>
        </is>
      </c>
      <c r="F108" s="6" t="inlineStr">
        <is>
          <t>REN col inc</t>
        </is>
      </c>
      <c r="G108" s="6" t="inlineStr">
        <is>
          <t>REN target</t>
        </is>
      </c>
      <c r="H108" s="6" t="inlineStr">
        <is>
          <t>RWR target</t>
        </is>
      </c>
      <c r="I108" s="6" t="inlineStr">
        <is>
          <t>Retention</t>
        </is>
      </c>
      <c r="J108" s="6" t="inlineStr">
        <is>
          <t>Total target</t>
        </is>
      </c>
      <c r="K108" s="6" t="inlineStr">
        <is>
          <t>PAID after MIN</t>
        </is>
      </c>
      <c r="L108" s="6" t="inlineStr">
        <is>
          <t>Gates (NB/REN/RWR)</t>
        </is>
      </c>
      <c r="M108" s="6" t="inlineStr">
        <is>
          <t>Safe Net</t>
        </is>
      </c>
      <c r="N108" s="6" t="inlineStr">
        <is>
          <t>vs Current</t>
        </is>
      </c>
      <c r="O108" s="6" t="inlineStr">
        <is>
          <t>Current Bonus</t>
        </is>
      </c>
    </row>
    <row r="109">
      <c r="A109" s="12" t="inlineStr">
        <is>
          <t>January</t>
        </is>
      </c>
      <c r="B109" s="11" t="n">
        <v>70</v>
      </c>
      <c r="C109" s="11" t="n">
        <v>0</v>
      </c>
      <c r="D109" s="11" t="n">
        <v>70</v>
      </c>
      <c r="E109" s="11" t="n">
        <v>72</v>
      </c>
      <c r="F109" s="11" t="n">
        <v>0</v>
      </c>
      <c r="G109" s="11" t="n">
        <v>72</v>
      </c>
      <c r="H109" s="11" t="n">
        <v>28</v>
      </c>
      <c r="I109" s="11" t="n">
        <v>225</v>
      </c>
      <c r="J109" s="11" t="n">
        <v>395</v>
      </c>
      <c r="K109" s="20" t="n">
        <v>297</v>
      </c>
      <c r="L109" s="37" t="inlineStr">
        <is>
          <t>n/Y/n</t>
        </is>
      </c>
      <c r="M109" s="11" t="n">
        <v>568.2616939999999</v>
      </c>
      <c r="N109" s="11" t="n">
        <v>297</v>
      </c>
      <c r="O109" s="11" t="n">
        <v>0</v>
      </c>
    </row>
    <row r="110">
      <c r="A110" s="12" t="inlineStr">
        <is>
          <t>February</t>
        </is>
      </c>
      <c r="B110" s="11" t="n">
        <v>98</v>
      </c>
      <c r="C110" s="11" t="n">
        <v>0</v>
      </c>
      <c r="D110" s="11" t="n">
        <v>98</v>
      </c>
      <c r="E110" s="11" t="n">
        <v>102</v>
      </c>
      <c r="F110" s="11" t="n">
        <v>12.6612</v>
      </c>
      <c r="G110" s="11" t="n">
        <v>114.6612</v>
      </c>
      <c r="H110" s="11" t="n">
        <v>24</v>
      </c>
      <c r="I110" s="11" t="n">
        <v>225</v>
      </c>
      <c r="J110" s="11" t="n">
        <v>461.6612</v>
      </c>
      <c r="K110" s="20" t="n">
        <v>339.6612</v>
      </c>
      <c r="L110" s="37" t="inlineStr">
        <is>
          <t>n/Y/n</t>
        </is>
      </c>
      <c r="M110" s="11" t="n">
        <v>742.7446410999999</v>
      </c>
      <c r="N110" s="11" t="n">
        <v>339.6612</v>
      </c>
      <c r="O110" s="11" t="n">
        <v>0</v>
      </c>
    </row>
    <row r="111">
      <c r="A111" s="12" t="inlineStr">
        <is>
          <t>March</t>
        </is>
      </c>
      <c r="B111" s="11" t="n">
        <v>95</v>
      </c>
      <c r="C111" s="11" t="n">
        <v>7.159655555555553</v>
      </c>
      <c r="D111" s="11" t="n">
        <v>102.1596555555556</v>
      </c>
      <c r="E111" s="11" t="n">
        <v>64</v>
      </c>
      <c r="F111" s="11" t="n">
        <v>0</v>
      </c>
      <c r="G111" s="11" t="n">
        <v>64</v>
      </c>
      <c r="H111" s="11" t="n">
        <v>18</v>
      </c>
      <c r="I111" s="11" t="n">
        <v>225</v>
      </c>
      <c r="J111" s="11" t="n">
        <v>409.1596555555556</v>
      </c>
      <c r="K111" s="20" t="n">
        <v>289</v>
      </c>
      <c r="L111" s="37" t="inlineStr">
        <is>
          <t>n/Y/n</t>
        </is>
      </c>
      <c r="M111" s="11" t="n">
        <v>640.1299058</v>
      </c>
      <c r="N111" s="11" t="n">
        <v>289</v>
      </c>
      <c r="O111" s="11" t="n">
        <v>0</v>
      </c>
    </row>
    <row r="112">
      <c r="A112" s="12" t="inlineStr">
        <is>
          <t>April</t>
        </is>
      </c>
      <c r="B112" s="11" t="n">
        <v>63</v>
      </c>
      <c r="C112" s="11" t="n">
        <v>9.665555555555557</v>
      </c>
      <c r="D112" s="11" t="n">
        <v>72.66555555555556</v>
      </c>
      <c r="E112" s="11" t="n">
        <v>102</v>
      </c>
      <c r="F112" s="11" t="n">
        <v>14.79355555555556</v>
      </c>
      <c r="G112" s="11" t="n">
        <v>116.7935555555556</v>
      </c>
      <c r="H112" s="11" t="n">
        <v>45</v>
      </c>
      <c r="I112" s="11" t="n">
        <v>225</v>
      </c>
      <c r="J112" s="11" t="n">
        <v>459.4591111111111</v>
      </c>
      <c r="K112" s="20" t="n">
        <v>341.7935555555555</v>
      </c>
      <c r="L112" s="37" t="inlineStr">
        <is>
          <t>n/Y/n</t>
        </is>
      </c>
      <c r="M112" s="11" t="n">
        <v>895.0173385999999</v>
      </c>
      <c r="N112" s="11" t="n">
        <v>341.7935555555555</v>
      </c>
      <c r="O112" s="11" t="n">
        <v>0</v>
      </c>
    </row>
    <row r="113">
      <c r="A113" s="22" t="inlineStr">
        <is>
          <t>4-Month Total</t>
        </is>
      </c>
      <c r="B113" s="38" t="n"/>
      <c r="C113" s="38" t="n"/>
      <c r="D113" s="38" t="n"/>
      <c r="E113" s="38" t="n"/>
      <c r="F113" s="38" t="n"/>
      <c r="G113" s="38" t="n"/>
      <c r="H113" s="38" t="n"/>
      <c r="I113" s="23" t="n">
        <v>1725.279966666667</v>
      </c>
      <c r="J113" s="23" t="n">
        <v>1267.454755555555</v>
      </c>
      <c r="K113" s="38" t="n"/>
      <c r="L113" s="38" t="n"/>
      <c r="M113" s="38" t="n"/>
      <c r="N113" s="23" t="n">
        <v>1267.454755555555</v>
      </c>
      <c r="O113" s="23" t="n">
        <v>0</v>
      </c>
    </row>
    <row r="115">
      <c r="A115" s="39" t="inlineStr">
        <is>
          <t>PROPOSAL B - COVERAGE-BASED</t>
        </is>
      </c>
    </row>
    <row r="116">
      <c r="A116" s="6" t="inlineStr">
        <is>
          <t>Month</t>
        </is>
      </c>
      <c r="B116" s="6" t="inlineStr">
        <is>
          <t>NB Base ($10 x ct)</t>
        </is>
      </c>
      <c r="C116" s="6" t="inlineStr">
        <is>
          <t>NB Liab Add ($5 x 35%)</t>
        </is>
      </c>
      <c r="D116" s="6" t="inlineStr">
        <is>
          <t>NB Target (w/ kicker)</t>
        </is>
      </c>
      <c r="E116" s="6" t="inlineStr">
        <is>
          <t>REN Base ($6 x ct)</t>
        </is>
      </c>
      <c r="F116" s="6" t="inlineStr">
        <is>
          <t>REN Liab Add ($3 x 30%)</t>
        </is>
      </c>
      <c r="G116" s="6" t="inlineStr">
        <is>
          <t>REN Target (w/ kicker)</t>
        </is>
      </c>
      <c r="H116" s="6" t="inlineStr">
        <is>
          <t>RWR Target (w/ kicker)</t>
        </is>
      </c>
      <c r="I116" s="6" t="inlineStr">
        <is>
          <t>Total Target (no min)</t>
        </is>
      </c>
      <c r="J116" s="6" t="inlineStr">
        <is>
          <t>PAID after MIN</t>
        </is>
      </c>
      <c r="K116" s="6" t="inlineStr">
        <is>
          <t>Gates (NB/REN/RWR)</t>
        </is>
      </c>
      <c r="L116" s="6" t="inlineStr">
        <is>
          <t>Safe Net</t>
        </is>
      </c>
      <c r="M116" s="6" t="inlineStr">
        <is>
          <t>Bonus % SN</t>
        </is>
      </c>
      <c r="N116" s="6" t="inlineStr">
        <is>
          <t>vs Current</t>
        </is>
      </c>
      <c r="O116" s="6" t="inlineStr">
        <is>
          <t>Current Bonus</t>
        </is>
      </c>
    </row>
    <row r="117">
      <c r="A117" s="15" t="inlineStr">
        <is>
          <t>January</t>
        </is>
      </c>
      <c r="B117" s="14" t="n">
        <v>110</v>
      </c>
      <c r="C117" s="14" t="n">
        <v>21</v>
      </c>
      <c r="D117" s="14" t="n">
        <v>131</v>
      </c>
      <c r="E117" s="14" t="n">
        <v>126</v>
      </c>
      <c r="F117" s="14" t="n">
        <v>16.2</v>
      </c>
      <c r="G117" s="14" t="n">
        <v>156.42</v>
      </c>
      <c r="H117" s="14" t="n">
        <v>30.8</v>
      </c>
      <c r="I117" s="14" t="n">
        <v>318.22</v>
      </c>
      <c r="J117" s="21" t="n">
        <v>156.42</v>
      </c>
      <c r="K117" s="37" t="inlineStr">
        <is>
          <t>n/Y/n</t>
        </is>
      </c>
      <c r="L117" s="14" t="n">
        <v>568.2616939999999</v>
      </c>
      <c r="M117" s="40" t="n">
        <v>0.5599884760136586</v>
      </c>
      <c r="N117" s="14" t="n">
        <v>156.42</v>
      </c>
      <c r="O117" s="14" t="n">
        <v>0</v>
      </c>
    </row>
    <row r="118">
      <c r="A118" s="15" t="inlineStr">
        <is>
          <t>February</t>
        </is>
      </c>
      <c r="B118" s="14" t="n">
        <v>154</v>
      </c>
      <c r="C118" s="14" t="n">
        <v>29.4</v>
      </c>
      <c r="D118" s="14" t="n">
        <v>201.74</v>
      </c>
      <c r="E118" s="14" t="n">
        <v>119</v>
      </c>
      <c r="F118" s="14" t="n">
        <v>15.3</v>
      </c>
      <c r="G118" s="14" t="n">
        <v>154.445</v>
      </c>
      <c r="H118" s="14" t="n">
        <v>26.4</v>
      </c>
      <c r="I118" s="14" t="n">
        <v>382.585</v>
      </c>
      <c r="J118" s="21" t="n">
        <v>154.445</v>
      </c>
      <c r="K118" s="37" t="inlineStr">
        <is>
          <t>n/Y/n</t>
        </is>
      </c>
      <c r="L118" s="14" t="n">
        <v>742.7446410999999</v>
      </c>
      <c r="M118" s="40" t="n">
        <v>0.5150962778181666</v>
      </c>
      <c r="N118" s="14" t="n">
        <v>154.445</v>
      </c>
      <c r="O118" s="14" t="n">
        <v>0</v>
      </c>
    </row>
    <row r="119">
      <c r="A119" s="15" t="inlineStr">
        <is>
          <t>March</t>
        </is>
      </c>
      <c r="B119" s="14" t="n">
        <v>209</v>
      </c>
      <c r="C119" s="14" t="n">
        <v>39.9</v>
      </c>
      <c r="D119" s="14" t="n">
        <v>286.235</v>
      </c>
      <c r="E119" s="14" t="n">
        <v>112</v>
      </c>
      <c r="F119" s="14" t="n">
        <v>14.4</v>
      </c>
      <c r="G119" s="14" t="n">
        <v>139.04</v>
      </c>
      <c r="H119" s="14" t="n">
        <v>19.8</v>
      </c>
      <c r="I119" s="14" t="n">
        <v>445.075</v>
      </c>
      <c r="J119" s="21" t="n">
        <v>139.04</v>
      </c>
      <c r="K119" s="37" t="inlineStr">
        <is>
          <t>n/Y/n</t>
        </is>
      </c>
      <c r="L119" s="14" t="n">
        <v>640.1299058</v>
      </c>
      <c r="M119" s="40" t="n">
        <v>0.695288559349167</v>
      </c>
      <c r="N119" s="14" t="n">
        <v>139.04</v>
      </c>
      <c r="O119" s="14" t="n">
        <v>0</v>
      </c>
    </row>
    <row r="120">
      <c r="A120" s="15" t="inlineStr">
        <is>
          <t>April</t>
        </is>
      </c>
      <c r="B120" s="14" t="n">
        <v>99</v>
      </c>
      <c r="C120" s="14" t="n">
        <v>18.9</v>
      </c>
      <c r="D120" s="14" t="n">
        <v>135.585</v>
      </c>
      <c r="E120" s="14" t="n">
        <v>119</v>
      </c>
      <c r="F120" s="14" t="n">
        <v>15.3</v>
      </c>
      <c r="G120" s="14" t="n">
        <v>154.445</v>
      </c>
      <c r="H120" s="14" t="n">
        <v>33</v>
      </c>
      <c r="I120" s="14" t="n">
        <v>323.03</v>
      </c>
      <c r="J120" s="21" t="n">
        <v>154.445</v>
      </c>
      <c r="K120" s="37" t="inlineStr">
        <is>
          <t>n/Y/n</t>
        </is>
      </c>
      <c r="L120" s="14" t="n">
        <v>895.0173385999999</v>
      </c>
      <c r="M120" s="40" t="n">
        <v>0.3609203822858768</v>
      </c>
      <c r="N120" s="14" t="n">
        <v>154.445</v>
      </c>
      <c r="O120" s="14" t="n">
        <v>0</v>
      </c>
    </row>
    <row r="121">
      <c r="A121" s="22" t="inlineStr">
        <is>
          <t>4-Month Total</t>
        </is>
      </c>
      <c r="B121" s="38" t="n"/>
      <c r="C121" s="38" t="n"/>
      <c r="D121" s="38" t="n"/>
      <c r="E121" s="38" t="n"/>
      <c r="F121" s="38" t="n"/>
      <c r="G121" s="38" t="n"/>
      <c r="H121" s="38" t="n"/>
      <c r="I121" s="23" t="n">
        <v>1468.91</v>
      </c>
      <c r="J121" s="23" t="n">
        <v>604.35</v>
      </c>
      <c r="K121" s="38" t="n"/>
      <c r="L121" s="38" t="n"/>
      <c r="M121" s="38" t="n"/>
      <c r="N121" s="23" t="n">
        <v>604.35</v>
      </c>
      <c r="O121" s="23" t="n">
        <v>0</v>
      </c>
    </row>
    <row r="124" ht="22" customHeight="1">
      <c r="A124" s="5" t="inlineStr">
        <is>
          <t>Monica Valdes</t>
        </is>
      </c>
    </row>
    <row r="125">
      <c r="A125" s="6" t="inlineStr">
        <is>
          <t>Month</t>
        </is>
      </c>
      <c r="B125" s="6" t="inlineStr">
        <is>
          <t>NB Count</t>
        </is>
      </c>
      <c r="C125" s="6" t="inlineStr">
        <is>
          <t>NB Premium</t>
        </is>
      </c>
      <c r="D125" s="6" t="inlineStr">
        <is>
          <t>NB Collected</t>
        </is>
      </c>
      <c r="E125" s="6" t="inlineStr">
        <is>
          <t>NB Coll %</t>
        </is>
      </c>
      <c r="F125" s="6" t="inlineStr">
        <is>
          <t>RWR Count</t>
        </is>
      </c>
      <c r="G125" s="6" t="inlineStr">
        <is>
          <t>RWR Premium</t>
        </is>
      </c>
      <c r="H125" s="6" t="inlineStr">
        <is>
          <t>RWR Collected</t>
        </is>
      </c>
      <c r="I125" s="6" t="inlineStr">
        <is>
          <t>RWR Coll %</t>
        </is>
      </c>
      <c r="J125" s="6" t="inlineStr">
        <is>
          <t>REN Count</t>
        </is>
      </c>
      <c r="K125" s="6" t="inlineStr">
        <is>
          <t>REN Premium</t>
        </is>
      </c>
      <c r="L125" s="6" t="inlineStr">
        <is>
          <t>REN Collected</t>
        </is>
      </c>
      <c r="M125" s="6" t="inlineStr">
        <is>
          <t>REN Coll %</t>
        </is>
      </c>
      <c r="N125" s="6" t="inlineStr">
        <is>
          <t>Avg NB Prem</t>
        </is>
      </c>
      <c r="O125" s="6" t="inlineStr">
        <is>
          <t>Avg REN Prem</t>
        </is>
      </c>
      <c r="P125" s="6" t="inlineStr">
        <is>
          <t>Total Collected</t>
        </is>
      </c>
      <c r="Q125" s="6" t="inlineStr">
        <is>
          <t>Safe Net</t>
        </is>
      </c>
      <c r="R125" s="6" t="inlineStr">
        <is>
          <t>Cap</t>
        </is>
      </c>
    </row>
    <row r="126">
      <c r="A126" s="17" t="inlineStr">
        <is>
          <t>January</t>
        </is>
      </c>
      <c r="B126" s="18" t="n">
        <v>23</v>
      </c>
      <c r="C126" s="19" t="n">
        <v>28605.29</v>
      </c>
      <c r="D126" s="19" t="n">
        <v>6551.7</v>
      </c>
      <c r="E126" s="35" t="n">
        <v>0.2290380555484667</v>
      </c>
      <c r="F126" s="18" t="n">
        <v>19</v>
      </c>
      <c r="G126" s="19" t="n">
        <v>24306.48</v>
      </c>
      <c r="H126" s="19" t="n">
        <v>4101.94</v>
      </c>
      <c r="I126" s="35" t="n">
        <v>0.1687591127962584</v>
      </c>
      <c r="J126" s="18" t="n">
        <v>24</v>
      </c>
      <c r="K126" s="19" t="n">
        <v>30809.39</v>
      </c>
      <c r="L126" s="19" t="n">
        <v>5541.24</v>
      </c>
      <c r="M126" s="35" t="n">
        <v>0.179855557023362</v>
      </c>
      <c r="N126" s="19" t="n">
        <v>1243.708260869565</v>
      </c>
      <c r="O126" s="19" t="n">
        <v>1283.724583333333</v>
      </c>
      <c r="P126" s="19" t="n">
        <v>16194.88</v>
      </c>
      <c r="Q126" s="19" t="n">
        <v>985.1345504</v>
      </c>
      <c r="R126" s="19" t="n">
        <v>394.05382016</v>
      </c>
    </row>
    <row r="127">
      <c r="A127" s="17" t="inlineStr">
        <is>
          <t>February</t>
        </is>
      </c>
      <c r="B127" s="18" t="n">
        <v>21</v>
      </c>
      <c r="C127" s="19" t="n">
        <v>31516.95</v>
      </c>
      <c r="D127" s="19" t="n">
        <v>6512.87</v>
      </c>
      <c r="E127" s="35" t="n">
        <v>0.206646582235908</v>
      </c>
      <c r="F127" s="18" t="n">
        <v>15</v>
      </c>
      <c r="G127" s="19" t="n">
        <v>23614.09</v>
      </c>
      <c r="H127" s="19" t="n">
        <v>3577.615</v>
      </c>
      <c r="I127" s="35" t="n">
        <v>0.1515034032647457</v>
      </c>
      <c r="J127" s="18" t="n">
        <v>16</v>
      </c>
      <c r="K127" s="19" t="n">
        <v>26706.09</v>
      </c>
      <c r="L127" s="19" t="n">
        <v>3850.485</v>
      </c>
      <c r="M127" s="35" t="n">
        <v>0.1441800353402538</v>
      </c>
      <c r="N127" s="19" t="n">
        <v>1500.807142857143</v>
      </c>
      <c r="O127" s="19" t="n">
        <v>1669.130625</v>
      </c>
      <c r="P127" s="19" t="n">
        <v>13940.97</v>
      </c>
      <c r="Q127" s="19" t="n">
        <v>848.0292051</v>
      </c>
      <c r="R127" s="19" t="n">
        <v>339.21168204</v>
      </c>
    </row>
    <row r="128">
      <c r="A128" s="17" t="inlineStr">
        <is>
          <t>March</t>
        </is>
      </c>
      <c r="B128" s="18" t="n">
        <v>36</v>
      </c>
      <c r="C128" s="19" t="n">
        <v>68546.22</v>
      </c>
      <c r="D128" s="19" t="n">
        <v>17019.79</v>
      </c>
      <c r="E128" s="35" t="n">
        <v>0.2482965508528406</v>
      </c>
      <c r="F128" s="18" t="n">
        <v>14</v>
      </c>
      <c r="G128" s="19" t="n">
        <v>19627.325</v>
      </c>
      <c r="H128" s="19" t="n">
        <v>2650.265</v>
      </c>
      <c r="I128" s="35" t="n">
        <v>0.135029353210384</v>
      </c>
      <c r="J128" s="18" t="n">
        <v>14</v>
      </c>
      <c r="K128" s="19" t="n">
        <v>19627.325</v>
      </c>
      <c r="L128" s="19" t="n">
        <v>2650.265</v>
      </c>
      <c r="M128" s="35" t="n">
        <v>0.135029353210384</v>
      </c>
      <c r="N128" s="19" t="n">
        <v>1904.061666666667</v>
      </c>
      <c r="O128" s="19" t="n">
        <v>1401.951785714286</v>
      </c>
      <c r="P128" s="19" t="n">
        <v>22320.32</v>
      </c>
      <c r="Q128" s="19" t="n">
        <v>1357.7450656</v>
      </c>
      <c r="R128" s="19" t="n">
        <v>543.0980262400001</v>
      </c>
    </row>
    <row r="129">
      <c r="A129" s="17" t="inlineStr">
        <is>
          <t>April</t>
        </is>
      </c>
      <c r="B129" s="18" t="n">
        <v>22</v>
      </c>
      <c r="C129" s="19" t="n">
        <v>29755.49</v>
      </c>
      <c r="D129" s="19" t="n">
        <v>6197.26</v>
      </c>
      <c r="E129" s="35" t="n">
        <v>0.2082728262918876</v>
      </c>
      <c r="F129" s="18" t="n">
        <v>11</v>
      </c>
      <c r="G129" s="19" t="n">
        <v>17639.95</v>
      </c>
      <c r="H129" s="19" t="n">
        <v>3652.895</v>
      </c>
      <c r="I129" s="35" t="n">
        <v>0.2070808023832267</v>
      </c>
      <c r="J129" s="18" t="n">
        <v>13</v>
      </c>
      <c r="K129" s="19" t="n">
        <v>20153.95</v>
      </c>
      <c r="L129" s="19" t="n">
        <v>3944.015</v>
      </c>
      <c r="M129" s="35" t="n">
        <v>0.1956943924143902</v>
      </c>
      <c r="N129" s="19" t="n">
        <v>1352.522272727273</v>
      </c>
      <c r="O129" s="19" t="n">
        <v>1550.303846153846</v>
      </c>
      <c r="P129" s="19" t="n">
        <v>13794.17</v>
      </c>
      <c r="Q129" s="19" t="n">
        <v>839.0993611</v>
      </c>
      <c r="R129" s="19" t="n">
        <v>335.63974444</v>
      </c>
    </row>
    <row r="131">
      <c r="A131" s="36" t="inlineStr">
        <is>
          <t>PROPOSAL A - PREMIUM-BASED</t>
        </is>
      </c>
    </row>
    <row r="132">
      <c r="A132" s="6" t="inlineStr">
        <is>
          <t>Month</t>
        </is>
      </c>
      <c r="B132" s="6" t="inlineStr">
        <is>
          <t>NB base</t>
        </is>
      </c>
      <c r="C132" s="6" t="inlineStr">
        <is>
          <t>NB col inc</t>
        </is>
      </c>
      <c r="D132" s="6" t="inlineStr">
        <is>
          <t>NB target</t>
        </is>
      </c>
      <c r="E132" s="6" t="inlineStr">
        <is>
          <t>REN base</t>
        </is>
      </c>
      <c r="F132" s="6" t="inlineStr">
        <is>
          <t>REN col inc</t>
        </is>
      </c>
      <c r="G132" s="6" t="inlineStr">
        <is>
          <t>REN target</t>
        </is>
      </c>
      <c r="H132" s="6" t="inlineStr">
        <is>
          <t>RWR target</t>
        </is>
      </c>
      <c r="I132" s="6" t="inlineStr">
        <is>
          <t>Retention</t>
        </is>
      </c>
      <c r="J132" s="6" t="inlineStr">
        <is>
          <t>Total target</t>
        </is>
      </c>
      <c r="K132" s="6" t="inlineStr">
        <is>
          <t>PAID after MIN</t>
        </is>
      </c>
      <c r="L132" s="6" t="inlineStr">
        <is>
          <t>Gates (NB/REN/RWR)</t>
        </is>
      </c>
      <c r="M132" s="6" t="inlineStr">
        <is>
          <t>Safe Net</t>
        </is>
      </c>
      <c r="N132" s="6" t="inlineStr">
        <is>
          <t>vs Current</t>
        </is>
      </c>
      <c r="O132" s="6" t="inlineStr">
        <is>
          <t>Current Bonus</t>
        </is>
      </c>
    </row>
    <row r="133">
      <c r="A133" s="12" t="inlineStr">
        <is>
          <t>January</t>
        </is>
      </c>
      <c r="B133" s="11" t="n">
        <v>161</v>
      </c>
      <c r="C133" s="11" t="n">
        <v>0</v>
      </c>
      <c r="D133" s="11" t="n">
        <v>161</v>
      </c>
      <c r="E133" s="11" t="n">
        <v>144</v>
      </c>
      <c r="F133" s="11" t="n">
        <v>0</v>
      </c>
      <c r="G133" s="11" t="n">
        <v>144</v>
      </c>
      <c r="H133" s="11" t="n">
        <v>57</v>
      </c>
      <c r="I133" s="11" t="n">
        <v>225</v>
      </c>
      <c r="J133" s="11" t="n">
        <v>587</v>
      </c>
      <c r="K133" s="20" t="n">
        <v>369</v>
      </c>
      <c r="L133" s="37" t="inlineStr">
        <is>
          <t>n/Y/n</t>
        </is>
      </c>
      <c r="M133" s="11" t="n">
        <v>985.1345504</v>
      </c>
      <c r="N133" s="11" t="n">
        <v>19</v>
      </c>
      <c r="O133" s="11" t="n">
        <v>350</v>
      </c>
    </row>
    <row r="134">
      <c r="A134" s="12" t="inlineStr">
        <is>
          <t>February</t>
        </is>
      </c>
      <c r="B134" s="11" t="n">
        <v>147</v>
      </c>
      <c r="C134" s="11" t="n">
        <v>0</v>
      </c>
      <c r="D134" s="11" t="n">
        <v>147</v>
      </c>
      <c r="E134" s="11" t="n">
        <v>96</v>
      </c>
      <c r="F134" s="11" t="n">
        <v>0</v>
      </c>
      <c r="G134" s="11" t="n">
        <v>96</v>
      </c>
      <c r="H134" s="11" t="n">
        <v>45</v>
      </c>
      <c r="I134" s="11" t="n">
        <v>225</v>
      </c>
      <c r="J134" s="11" t="n">
        <v>513</v>
      </c>
      <c r="K134" s="20" t="n">
        <v>321</v>
      </c>
      <c r="L134" s="37" t="inlineStr">
        <is>
          <t>n/Y/n</t>
        </is>
      </c>
      <c r="M134" s="11" t="n">
        <v>848.0292051</v>
      </c>
      <c r="N134" s="11" t="n">
        <v>-29</v>
      </c>
      <c r="O134" s="11" t="n">
        <v>350</v>
      </c>
    </row>
    <row r="135">
      <c r="A135" s="12" t="inlineStr">
        <is>
          <t>March</t>
        </is>
      </c>
      <c r="B135" s="11" t="n">
        <v>360</v>
      </c>
      <c r="C135" s="11" t="n">
        <v>0</v>
      </c>
      <c r="D135" s="11" t="n">
        <v>360</v>
      </c>
      <c r="E135" s="11" t="n">
        <v>84</v>
      </c>
      <c r="F135" s="11" t="n">
        <v>0</v>
      </c>
      <c r="G135" s="11" t="n">
        <v>84</v>
      </c>
      <c r="H135" s="11" t="n">
        <v>42</v>
      </c>
      <c r="I135" s="11" t="n">
        <v>225</v>
      </c>
      <c r="J135" s="11" t="n">
        <v>711</v>
      </c>
      <c r="K135" s="20" t="n">
        <v>711</v>
      </c>
      <c r="L135" s="27" t="inlineStr">
        <is>
          <t>Y/Y/Y</t>
        </is>
      </c>
      <c r="M135" s="11" t="n">
        <v>1357.7450656</v>
      </c>
      <c r="N135" s="11" t="n">
        <v>261</v>
      </c>
      <c r="O135" s="11" t="n">
        <v>450</v>
      </c>
    </row>
    <row r="136">
      <c r="A136" s="12" t="inlineStr">
        <is>
          <t>April</t>
        </is>
      </c>
      <c r="B136" s="11" t="n">
        <v>154</v>
      </c>
      <c r="C136" s="11" t="n">
        <v>0</v>
      </c>
      <c r="D136" s="11" t="n">
        <v>154</v>
      </c>
      <c r="E136" s="11" t="n">
        <v>78</v>
      </c>
      <c r="F136" s="11" t="n">
        <v>0</v>
      </c>
      <c r="G136" s="11" t="n">
        <v>78</v>
      </c>
      <c r="H136" s="11" t="n">
        <v>33</v>
      </c>
      <c r="I136" s="11" t="n">
        <v>225</v>
      </c>
      <c r="J136" s="11" t="n">
        <v>490</v>
      </c>
      <c r="K136" s="20" t="n">
        <v>303</v>
      </c>
      <c r="L136" s="37" t="inlineStr">
        <is>
          <t>n/Y/n</t>
        </is>
      </c>
      <c r="M136" s="11" t="n">
        <v>839.0993611</v>
      </c>
      <c r="N136" s="11" t="n">
        <v>53</v>
      </c>
      <c r="O136" s="11" t="n">
        <v>250</v>
      </c>
    </row>
    <row r="137">
      <c r="A137" s="22" t="inlineStr">
        <is>
          <t>4-Month Total</t>
        </is>
      </c>
      <c r="B137" s="38" t="n"/>
      <c r="C137" s="38" t="n"/>
      <c r="D137" s="38" t="n"/>
      <c r="E137" s="38" t="n"/>
      <c r="F137" s="38" t="n"/>
      <c r="G137" s="38" t="n"/>
      <c r="H137" s="38" t="n"/>
      <c r="I137" s="23" t="n">
        <v>2301</v>
      </c>
      <c r="J137" s="23" t="n">
        <v>1704</v>
      </c>
      <c r="K137" s="38" t="n"/>
      <c r="L137" s="38" t="n"/>
      <c r="M137" s="38" t="n"/>
      <c r="N137" s="23" t="n">
        <v>304</v>
      </c>
      <c r="O137" s="23" t="n">
        <v>1400</v>
      </c>
    </row>
    <row r="139">
      <c r="A139" s="39" t="inlineStr">
        <is>
          <t>PROPOSAL B - COVERAGE-BASED</t>
        </is>
      </c>
    </row>
    <row r="140">
      <c r="A140" s="6" t="inlineStr">
        <is>
          <t>Month</t>
        </is>
      </c>
      <c r="B140" s="6" t="inlineStr">
        <is>
          <t>NB Base ($10 x ct)</t>
        </is>
      </c>
      <c r="C140" s="6" t="inlineStr">
        <is>
          <t>NB Liab Add ($5 x 35%)</t>
        </is>
      </c>
      <c r="D140" s="6" t="inlineStr">
        <is>
          <t>NB Target (w/ kicker)</t>
        </is>
      </c>
      <c r="E140" s="6" t="inlineStr">
        <is>
          <t>REN Base ($6 x ct)</t>
        </is>
      </c>
      <c r="F140" s="6" t="inlineStr">
        <is>
          <t>REN Liab Add ($3 x 30%)</t>
        </is>
      </c>
      <c r="G140" s="6" t="inlineStr">
        <is>
          <t>REN Target (w/ kicker)</t>
        </is>
      </c>
      <c r="H140" s="6" t="inlineStr">
        <is>
          <t>RWR Target (w/ kicker)</t>
        </is>
      </c>
      <c r="I140" s="6" t="inlineStr">
        <is>
          <t>Total Target (no min)</t>
        </is>
      </c>
      <c r="J140" s="6" t="inlineStr">
        <is>
          <t>PAID after MIN</t>
        </is>
      </c>
      <c r="K140" s="6" t="inlineStr">
        <is>
          <t>Gates (NB/REN/RWR)</t>
        </is>
      </c>
      <c r="L140" s="6" t="inlineStr">
        <is>
          <t>Safe Net</t>
        </is>
      </c>
      <c r="M140" s="6" t="inlineStr">
        <is>
          <t>Bonus % SN</t>
        </is>
      </c>
      <c r="N140" s="6" t="inlineStr">
        <is>
          <t>vs Current</t>
        </is>
      </c>
      <c r="O140" s="6" t="inlineStr">
        <is>
          <t>Current Bonus</t>
        </is>
      </c>
    </row>
    <row r="141">
      <c r="A141" s="15" t="inlineStr">
        <is>
          <t>January</t>
        </is>
      </c>
      <c r="B141" s="14" t="n">
        <v>253</v>
      </c>
      <c r="C141" s="14" t="n">
        <v>48.3</v>
      </c>
      <c r="D141" s="14" t="n">
        <v>331.4300000000001</v>
      </c>
      <c r="E141" s="14" t="n">
        <v>168</v>
      </c>
      <c r="F141" s="14" t="n">
        <v>21.6</v>
      </c>
      <c r="G141" s="14" t="n">
        <v>208.56</v>
      </c>
      <c r="H141" s="14" t="n">
        <v>41.8</v>
      </c>
      <c r="I141" s="14" t="n">
        <v>581.79</v>
      </c>
      <c r="J141" s="21" t="n">
        <v>208.56</v>
      </c>
      <c r="K141" s="37" t="inlineStr">
        <is>
          <t>n/Y/n</t>
        </is>
      </c>
      <c r="L141" s="14" t="n">
        <v>985.1345504</v>
      </c>
      <c r="M141" s="40" t="n">
        <v>0.5905690748170109</v>
      </c>
      <c r="N141" s="14" t="n">
        <v>-141.44</v>
      </c>
      <c r="O141" s="14" t="n">
        <v>350</v>
      </c>
    </row>
    <row r="142">
      <c r="A142" s="15" t="inlineStr">
        <is>
          <t>February</t>
        </is>
      </c>
      <c r="B142" s="14" t="n">
        <v>231</v>
      </c>
      <c r="C142" s="14" t="n">
        <v>44.09999999999999</v>
      </c>
      <c r="D142" s="14" t="n">
        <v>302.6100000000001</v>
      </c>
      <c r="E142" s="14" t="n">
        <v>112</v>
      </c>
      <c r="F142" s="14" t="n">
        <v>14.4</v>
      </c>
      <c r="G142" s="14" t="n">
        <v>126.4</v>
      </c>
      <c r="H142" s="14" t="n">
        <v>33</v>
      </c>
      <c r="I142" s="14" t="n">
        <v>462.0100000000001</v>
      </c>
      <c r="J142" s="21" t="n">
        <v>126.4</v>
      </c>
      <c r="K142" s="37" t="inlineStr">
        <is>
          <t>n/Y/n</t>
        </is>
      </c>
      <c r="L142" s="14" t="n">
        <v>848.0292051</v>
      </c>
      <c r="M142" s="40" t="n">
        <v>0.544804350158577</v>
      </c>
      <c r="N142" s="14" t="n">
        <v>-223.6</v>
      </c>
      <c r="O142" s="14" t="n">
        <v>350</v>
      </c>
    </row>
    <row r="143">
      <c r="A143" s="15" t="inlineStr">
        <is>
          <t>March</t>
        </is>
      </c>
      <c r="B143" s="14" t="n">
        <v>396</v>
      </c>
      <c r="C143" s="14" t="n">
        <v>75.59999999999999</v>
      </c>
      <c r="D143" s="14" t="n">
        <v>518.7600000000001</v>
      </c>
      <c r="E143" s="14" t="n">
        <v>98</v>
      </c>
      <c r="F143" s="14" t="n">
        <v>12.6</v>
      </c>
      <c r="G143" s="14" t="n">
        <v>110.6</v>
      </c>
      <c r="H143" s="14" t="n">
        <v>28</v>
      </c>
      <c r="I143" s="14" t="n">
        <v>657.3600000000001</v>
      </c>
      <c r="J143" s="21" t="n">
        <v>657.3600000000001</v>
      </c>
      <c r="K143" s="27" t="inlineStr">
        <is>
          <t>Y/Y/Y</t>
        </is>
      </c>
      <c r="L143" s="14" t="n">
        <v>1357.7450656</v>
      </c>
      <c r="M143" s="40" t="n">
        <v>0.4841556906778421</v>
      </c>
      <c r="N143" s="14" t="n">
        <v>207.3600000000001</v>
      </c>
      <c r="O143" s="14" t="n">
        <v>450</v>
      </c>
    </row>
    <row r="144">
      <c r="A144" s="15" t="inlineStr">
        <is>
          <t>April</t>
        </is>
      </c>
      <c r="B144" s="14" t="n">
        <v>242</v>
      </c>
      <c r="C144" s="14" t="n">
        <v>46.2</v>
      </c>
      <c r="D144" s="14" t="n">
        <v>317.02</v>
      </c>
      <c r="E144" s="14" t="n">
        <v>91</v>
      </c>
      <c r="F144" s="14" t="n">
        <v>11.7</v>
      </c>
      <c r="G144" s="14" t="n">
        <v>112.97</v>
      </c>
      <c r="H144" s="14" t="n">
        <v>24.2</v>
      </c>
      <c r="I144" s="14" t="n">
        <v>454.1900000000001</v>
      </c>
      <c r="J144" s="21" t="n">
        <v>112.97</v>
      </c>
      <c r="K144" s="37" t="inlineStr">
        <is>
          <t>n/Y/n</t>
        </is>
      </c>
      <c r="L144" s="14" t="n">
        <v>839.0993611</v>
      </c>
      <c r="M144" s="40" t="n">
        <v>0.5412827384406408</v>
      </c>
      <c r="N144" s="14" t="n">
        <v>-137.03</v>
      </c>
      <c r="O144" s="14" t="n">
        <v>250</v>
      </c>
    </row>
    <row r="145">
      <c r="A145" s="22" t="inlineStr">
        <is>
          <t>4-Month Total</t>
        </is>
      </c>
      <c r="B145" s="38" t="n"/>
      <c r="C145" s="38" t="n"/>
      <c r="D145" s="38" t="n"/>
      <c r="E145" s="38" t="n"/>
      <c r="F145" s="38" t="n"/>
      <c r="G145" s="38" t="n"/>
      <c r="H145" s="38" t="n"/>
      <c r="I145" s="23" t="n">
        <v>2155.35</v>
      </c>
      <c r="J145" s="23" t="n">
        <v>1105.29</v>
      </c>
      <c r="K145" s="38" t="n"/>
      <c r="L145" s="38" t="n"/>
      <c r="M145" s="38" t="n"/>
      <c r="N145" s="23" t="n">
        <v>-294.7099999999998</v>
      </c>
      <c r="O145" s="23" t="n">
        <v>1400</v>
      </c>
    </row>
  </sheetData>
  <mergeCells count="20">
    <mergeCell ref="A124:R124"/>
    <mergeCell ref="A139:R139"/>
    <mergeCell ref="A2:R2"/>
    <mergeCell ref="A76:R76"/>
    <mergeCell ref="A91:R91"/>
    <mergeCell ref="A131:R131"/>
    <mergeCell ref="A35:R35"/>
    <mergeCell ref="A100:R100"/>
    <mergeCell ref="A4:R4"/>
    <mergeCell ref="A43:R43"/>
    <mergeCell ref="A19:R19"/>
    <mergeCell ref="A52:R52"/>
    <mergeCell ref="A28:R28"/>
    <mergeCell ref="A115:R115"/>
    <mergeCell ref="A67:R67"/>
    <mergeCell ref="A83:R83"/>
    <mergeCell ref="A59:R59"/>
    <mergeCell ref="A11:R11"/>
    <mergeCell ref="A107:R107"/>
    <mergeCell ref="A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92"/>
  <sheetViews>
    <sheetView workbookViewId="0">
      <selection activeCell="A1" sqref="A1"/>
    </sheetView>
  </sheetViews>
  <sheetFormatPr baseColWidth="8" defaultRowHeight="15"/>
  <cols>
    <col width="12" customWidth="1" min="1" max="1"/>
    <col width="13" customWidth="1" min="2" max="2"/>
    <col width="14" customWidth="1" min="3" max="3"/>
    <col width="14" customWidth="1" min="4" max="4"/>
    <col width="11" customWidth="1" min="5" max="5"/>
    <col width="13" customWidth="1" min="6" max="6"/>
    <col width="14" customWidth="1" min="7" max="7"/>
    <col width="14" customWidth="1" min="8" max="8"/>
    <col width="11" customWidth="1" min="9" max="9"/>
    <col width="13" customWidth="1" min="10" max="10"/>
    <col width="14" customWidth="1" min="11" max="11"/>
    <col width="14" customWidth="1" min="12" max="12"/>
    <col width="13" customWidth="1" min="13" max="13"/>
    <col width="13" customWidth="1" min="14" max="14"/>
  </cols>
  <sheetData>
    <row r="1">
      <c r="A1" s="1" t="inlineStr">
        <is>
          <t>Agent Examples - 100% FLIP (if rewrites had been renewals)</t>
        </is>
      </c>
    </row>
    <row r="2">
      <c r="A2" s="4" t="inlineStr">
        <is>
          <t>Same premiums, same collected $, but rewrites and renewals are FULLY SWAPPED. Strongest behavior-change test.</t>
        </is>
      </c>
    </row>
    <row r="4">
      <c r="A4" s="5" t="inlineStr">
        <is>
          <t>Abel Guaina</t>
        </is>
      </c>
    </row>
    <row r="5">
      <c r="A5" s="6" t="inlineStr">
        <is>
          <t>Month</t>
        </is>
      </c>
      <c r="B5" s="6" t="inlineStr">
        <is>
          <t>NB Count</t>
        </is>
      </c>
      <c r="C5" s="6" t="inlineStr">
        <is>
          <t>NB Premium</t>
        </is>
      </c>
      <c r="D5" s="6" t="inlineStr">
        <is>
          <t>NB Collected</t>
        </is>
      </c>
      <c r="E5" s="6" t="inlineStr">
        <is>
          <t>NB Coll %</t>
        </is>
      </c>
      <c r="F5" s="6" t="inlineStr">
        <is>
          <t>RWR Count</t>
        </is>
      </c>
      <c r="G5" s="6" t="inlineStr">
        <is>
          <t>RWR Premium</t>
        </is>
      </c>
      <c r="H5" s="6" t="inlineStr">
        <is>
          <t>RWR Collected</t>
        </is>
      </c>
      <c r="I5" s="6" t="inlineStr">
        <is>
          <t>RWR Coll %</t>
        </is>
      </c>
      <c r="J5" s="6" t="inlineStr">
        <is>
          <t>REN Count</t>
        </is>
      </c>
      <c r="K5" s="6" t="inlineStr">
        <is>
          <t>REN Premium</t>
        </is>
      </c>
      <c r="L5" s="6" t="inlineStr">
        <is>
          <t>REN Collected</t>
        </is>
      </c>
      <c r="M5" s="6" t="inlineStr">
        <is>
          <t>REN Coll %</t>
        </is>
      </c>
    </row>
    <row r="6">
      <c r="A6" s="17" t="inlineStr">
        <is>
          <t>January</t>
        </is>
      </c>
      <c r="B6" s="18" t="n">
        <v>25</v>
      </c>
      <c r="C6" s="19" t="n">
        <v>38611.42</v>
      </c>
      <c r="D6" s="19" t="n">
        <v>4938.26</v>
      </c>
      <c r="E6" s="35" t="n">
        <v>0.1278963581240991</v>
      </c>
      <c r="F6" s="18" t="n">
        <v>9</v>
      </c>
      <c r="G6" s="19" t="n">
        <v>7605</v>
      </c>
      <c r="H6" s="19" t="n">
        <v>1734.23</v>
      </c>
      <c r="I6" s="35" t="n">
        <v>0.2280381328073636</v>
      </c>
      <c r="J6" s="18" t="n">
        <v>17</v>
      </c>
      <c r="K6" s="19" t="n">
        <v>27518.5</v>
      </c>
      <c r="L6" s="19" t="n">
        <v>6186.16</v>
      </c>
      <c r="M6" s="35" t="n">
        <v>0.224800043607028</v>
      </c>
    </row>
    <row r="7">
      <c r="A7" s="17" t="inlineStr">
        <is>
          <t>February</t>
        </is>
      </c>
      <c r="B7" s="18" t="n">
        <v>13</v>
      </c>
      <c r="C7" s="19" t="n">
        <v>25367</v>
      </c>
      <c r="D7" s="19" t="n">
        <v>3258.77</v>
      </c>
      <c r="E7" s="35" t="n">
        <v>0.1284649347577561</v>
      </c>
      <c r="F7" s="18" t="n">
        <v>7</v>
      </c>
      <c r="G7" s="19" t="n">
        <v>7517</v>
      </c>
      <c r="H7" s="19" t="n">
        <v>1422.16</v>
      </c>
      <c r="I7" s="35" t="n">
        <v>0.1891924970067846</v>
      </c>
      <c r="J7" s="18" t="n">
        <v>19</v>
      </c>
      <c r="K7" s="19" t="n">
        <v>30643</v>
      </c>
      <c r="L7" s="19" t="n">
        <v>4268.29</v>
      </c>
      <c r="M7" s="35" t="n">
        <v>0.1392908657768495</v>
      </c>
    </row>
    <row r="8">
      <c r="A8" s="17" t="inlineStr">
        <is>
          <t>March</t>
        </is>
      </c>
      <c r="B8" s="18" t="n">
        <v>30</v>
      </c>
      <c r="C8" s="19" t="n">
        <v>46523.37</v>
      </c>
      <c r="D8" s="19" t="n">
        <v>6523.33</v>
      </c>
      <c r="E8" s="35" t="n">
        <v>0.140216196720057</v>
      </c>
      <c r="F8" s="18" t="n">
        <v>5</v>
      </c>
      <c r="G8" s="19" t="n">
        <v>3901</v>
      </c>
      <c r="H8" s="19" t="n">
        <v>1274.08</v>
      </c>
      <c r="I8" s="35" t="n">
        <v>0.3266034350166624</v>
      </c>
      <c r="J8" s="18" t="n">
        <v>17</v>
      </c>
      <c r="K8" s="19" t="n">
        <v>25227.6</v>
      </c>
      <c r="L8" s="19" t="n">
        <v>5844.85</v>
      </c>
      <c r="M8" s="35" t="n">
        <v>0.2316847421078502</v>
      </c>
    </row>
    <row r="9">
      <c r="A9" s="17" t="inlineStr">
        <is>
          <t>April</t>
        </is>
      </c>
      <c r="B9" s="18" t="n">
        <v>27</v>
      </c>
      <c r="C9" s="19" t="n">
        <v>37825.93</v>
      </c>
      <c r="D9" s="19" t="n">
        <v>8163.72</v>
      </c>
      <c r="E9" s="35" t="n">
        <v>0.2158233783016042</v>
      </c>
      <c r="F9" s="18" t="n">
        <v>13</v>
      </c>
      <c r="G9" s="19" t="n">
        <v>10935.99</v>
      </c>
      <c r="H9" s="19" t="n">
        <v>5439.19</v>
      </c>
      <c r="I9" s="35" t="n">
        <v>0.4973660363625058</v>
      </c>
      <c r="J9" s="18" t="n">
        <v>15</v>
      </c>
      <c r="K9" s="19" t="n">
        <v>15361.95</v>
      </c>
      <c r="L9" s="19" t="n">
        <v>3967.81</v>
      </c>
      <c r="M9" s="35" t="n">
        <v>0.2582881730509473</v>
      </c>
    </row>
    <row r="11">
      <c r="A11" s="36" t="inlineStr">
        <is>
          <t>THE PLAN - bonus calculation</t>
        </is>
      </c>
    </row>
    <row r="12">
      <c r="A12" s="6" t="inlineStr">
        <is>
          <t>Month</t>
        </is>
      </c>
      <c r="B12" s="6" t="inlineStr">
        <is>
          <t>NB base</t>
        </is>
      </c>
      <c r="C12" s="6" t="inlineStr">
        <is>
          <t>NB col inc</t>
        </is>
      </c>
      <c r="D12" s="6" t="inlineStr">
        <is>
          <t>NB target</t>
        </is>
      </c>
      <c r="E12" s="6" t="inlineStr">
        <is>
          <t>REN base</t>
        </is>
      </c>
      <c r="F12" s="6" t="inlineStr">
        <is>
          <t>REN col inc</t>
        </is>
      </c>
      <c r="G12" s="6" t="inlineStr">
        <is>
          <t>REN target</t>
        </is>
      </c>
      <c r="H12" s="6" t="inlineStr">
        <is>
          <t>RWR target</t>
        </is>
      </c>
      <c r="I12" s="6" t="inlineStr">
        <is>
          <t>Retention</t>
        </is>
      </c>
      <c r="J12" s="6" t="inlineStr">
        <is>
          <t>Total target</t>
        </is>
      </c>
      <c r="K12" s="6" t="inlineStr">
        <is>
          <t>PAID after MIN</t>
        </is>
      </c>
      <c r="L12" s="6" t="inlineStr">
        <is>
          <t>Gates (NB/REN/RWR)</t>
        </is>
      </c>
      <c r="M12" s="6" t="inlineStr">
        <is>
          <t>vs Current</t>
        </is>
      </c>
      <c r="N12" s="6" t="inlineStr">
        <is>
          <t>Current Bonus</t>
        </is>
      </c>
    </row>
    <row r="13">
      <c r="A13" s="12" t="inlineStr">
        <is>
          <t>January</t>
        </is>
      </c>
      <c r="B13" s="11" t="n">
        <v>175</v>
      </c>
      <c r="C13" s="11" t="n">
        <v>0</v>
      </c>
      <c r="D13" s="11" t="n">
        <v>175</v>
      </c>
      <c r="E13" s="11" t="n">
        <v>102</v>
      </c>
      <c r="F13" s="11" t="n">
        <v>0</v>
      </c>
      <c r="G13" s="11" t="n">
        <v>102</v>
      </c>
      <c r="H13" s="11" t="n">
        <v>18</v>
      </c>
      <c r="I13" s="11" t="n">
        <v>225</v>
      </c>
      <c r="J13" s="11" t="n">
        <v>520</v>
      </c>
      <c r="K13" s="20" t="n">
        <v>327</v>
      </c>
      <c r="L13" s="37" t="inlineStr">
        <is>
          <t>n/Y/n</t>
        </is>
      </c>
      <c r="M13" s="11" t="n">
        <v>77</v>
      </c>
      <c r="N13" s="11" t="n">
        <v>250</v>
      </c>
    </row>
    <row r="14">
      <c r="A14" s="12" t="inlineStr">
        <is>
          <t>February</t>
        </is>
      </c>
      <c r="B14" s="11" t="n">
        <v>130</v>
      </c>
      <c r="C14" s="11" t="n">
        <v>0</v>
      </c>
      <c r="D14" s="11" t="n">
        <v>130</v>
      </c>
      <c r="E14" s="11" t="n">
        <v>114</v>
      </c>
      <c r="F14" s="11" t="n">
        <v>0</v>
      </c>
      <c r="G14" s="11" t="n">
        <v>114</v>
      </c>
      <c r="H14" s="11" t="n">
        <v>14</v>
      </c>
      <c r="I14" s="11" t="n">
        <v>225</v>
      </c>
      <c r="J14" s="11" t="n">
        <v>483</v>
      </c>
      <c r="K14" s="20" t="n">
        <v>339</v>
      </c>
      <c r="L14" s="37" t="inlineStr">
        <is>
          <t>n/Y/n</t>
        </is>
      </c>
      <c r="M14" s="11" t="n">
        <v>339</v>
      </c>
      <c r="N14" s="11" t="n">
        <v>0</v>
      </c>
    </row>
    <row r="15">
      <c r="A15" s="12" t="inlineStr">
        <is>
          <t>March</t>
        </is>
      </c>
      <c r="B15" s="11" t="n">
        <v>210</v>
      </c>
      <c r="C15" s="11" t="n">
        <v>0</v>
      </c>
      <c r="D15" s="11" t="n">
        <v>210</v>
      </c>
      <c r="E15" s="11" t="n">
        <v>102</v>
      </c>
      <c r="F15" s="11" t="n">
        <v>0</v>
      </c>
      <c r="G15" s="11" t="n">
        <v>102</v>
      </c>
      <c r="H15" s="11" t="n">
        <v>11.00111111111111</v>
      </c>
      <c r="I15" s="11" t="n">
        <v>225</v>
      </c>
      <c r="J15" s="11" t="n">
        <v>548.0011111111112</v>
      </c>
      <c r="K15" s="20" t="n">
        <v>548.0011111111112</v>
      </c>
      <c r="L15" s="27" t="inlineStr">
        <is>
          <t>Y/Y/Y</t>
        </is>
      </c>
      <c r="M15" s="11" t="n">
        <v>198.0011111111112</v>
      </c>
      <c r="N15" s="11" t="n">
        <v>350</v>
      </c>
    </row>
    <row r="16">
      <c r="A16" s="12" t="inlineStr">
        <is>
          <t>April</t>
        </is>
      </c>
      <c r="B16" s="11" t="n">
        <v>189</v>
      </c>
      <c r="C16" s="11" t="n">
        <v>0</v>
      </c>
      <c r="D16" s="11" t="n">
        <v>189</v>
      </c>
      <c r="E16" s="11" t="n">
        <v>60</v>
      </c>
      <c r="F16" s="11" t="n">
        <v>7.068833333333335</v>
      </c>
      <c r="G16" s="11" t="n">
        <v>67.06883333333333</v>
      </c>
      <c r="H16" s="11" t="n">
        <v>29.48443333333334</v>
      </c>
      <c r="I16" s="11" t="n">
        <v>225</v>
      </c>
      <c r="J16" s="11" t="n">
        <v>510.5532666666667</v>
      </c>
      <c r="K16" s="20" t="n">
        <v>292.0688333333333</v>
      </c>
      <c r="L16" s="37" t="inlineStr">
        <is>
          <t>n/Y/n</t>
        </is>
      </c>
      <c r="M16" s="11" t="n">
        <v>-57.93116666666668</v>
      </c>
      <c r="N16" s="11" t="n">
        <v>350</v>
      </c>
    </row>
    <row r="17">
      <c r="A17" s="22" t="inlineStr">
        <is>
          <t>4-Month Total</t>
        </is>
      </c>
      <c r="B17" s="38" t="n"/>
      <c r="C17" s="38" t="n"/>
      <c r="D17" s="38" t="n"/>
      <c r="E17" s="38" t="n"/>
      <c r="F17" s="38" t="n"/>
      <c r="G17" s="38" t="n"/>
      <c r="H17" s="38" t="n"/>
      <c r="I17" s="38" t="n"/>
      <c r="J17" s="38" t="n"/>
      <c r="K17" s="23" t="n">
        <v>1506.069944444444</v>
      </c>
      <c r="L17" s="38" t="n"/>
      <c r="M17" s="23" t="n">
        <v>556.0699444444444</v>
      </c>
      <c r="N17" s="23" t="n">
        <v>950</v>
      </c>
    </row>
    <row r="19">
      <c r="A19" s="5" t="inlineStr">
        <is>
          <t>Dialinerys Dieguez</t>
        </is>
      </c>
    </row>
    <row r="20">
      <c r="A20" s="6" t="inlineStr">
        <is>
          <t>Month</t>
        </is>
      </c>
      <c r="B20" s="6" t="inlineStr">
        <is>
          <t>NB Count</t>
        </is>
      </c>
      <c r="C20" s="6" t="inlineStr">
        <is>
          <t>NB Premium</t>
        </is>
      </c>
      <c r="D20" s="6" t="inlineStr">
        <is>
          <t>NB Collected</t>
        </is>
      </c>
      <c r="E20" s="6" t="inlineStr">
        <is>
          <t>NB Coll %</t>
        </is>
      </c>
      <c r="F20" s="6" t="inlineStr">
        <is>
          <t>RWR Count</t>
        </is>
      </c>
      <c r="G20" s="6" t="inlineStr">
        <is>
          <t>RWR Premium</t>
        </is>
      </c>
      <c r="H20" s="6" t="inlineStr">
        <is>
          <t>RWR Collected</t>
        </is>
      </c>
      <c r="I20" s="6" t="inlineStr">
        <is>
          <t>RWR Coll %</t>
        </is>
      </c>
      <c r="J20" s="6" t="inlineStr">
        <is>
          <t>REN Count</t>
        </is>
      </c>
      <c r="K20" s="6" t="inlineStr">
        <is>
          <t>REN Premium</t>
        </is>
      </c>
      <c r="L20" s="6" t="inlineStr">
        <is>
          <t>REN Collected</t>
        </is>
      </c>
      <c r="M20" s="6" t="inlineStr">
        <is>
          <t>REN Coll %</t>
        </is>
      </c>
    </row>
    <row r="21">
      <c r="A21" s="17" t="inlineStr">
        <is>
          <t>January</t>
        </is>
      </c>
      <c r="B21" s="18" t="n">
        <v>23</v>
      </c>
      <c r="C21" s="19" t="n">
        <v>40249.26</v>
      </c>
      <c r="D21" s="19" t="n">
        <v>4925</v>
      </c>
      <c r="E21" s="35" t="n">
        <v>0.1223624980931326</v>
      </c>
      <c r="F21" s="18" t="n">
        <v>11</v>
      </c>
      <c r="G21" s="19" t="n">
        <v>12530.47</v>
      </c>
      <c r="H21" s="19" t="n">
        <v>4951.59</v>
      </c>
      <c r="I21" s="35" t="n">
        <v>0.395163948359479</v>
      </c>
      <c r="J21" s="18" t="n">
        <v>48</v>
      </c>
      <c r="K21" s="19" t="n">
        <v>65675.38</v>
      </c>
      <c r="L21" s="19" t="n">
        <v>10936.32</v>
      </c>
      <c r="M21" s="35" t="n">
        <v>0.1665208484518856</v>
      </c>
    </row>
    <row r="22">
      <c r="A22" s="17" t="inlineStr">
        <is>
          <t>February</t>
        </is>
      </c>
      <c r="B22" s="18" t="n">
        <v>23</v>
      </c>
      <c r="C22" s="19" t="n">
        <v>30057.89</v>
      </c>
      <c r="D22" s="19" t="n">
        <v>5766.72</v>
      </c>
      <c r="E22" s="35" t="n">
        <v>0.1918537861440041</v>
      </c>
      <c r="F22" s="18" t="n">
        <v>9</v>
      </c>
      <c r="G22" s="19" t="n">
        <v>11629.68</v>
      </c>
      <c r="H22" s="19" t="n">
        <v>1937.6</v>
      </c>
      <c r="I22" s="35" t="n">
        <v>0.1666081955823376</v>
      </c>
      <c r="J22" s="18" t="n">
        <v>56</v>
      </c>
      <c r="K22" s="19" t="n">
        <v>85544.60000000001</v>
      </c>
      <c r="L22" s="19" t="n">
        <v>13931.43</v>
      </c>
      <c r="M22" s="35" t="n">
        <v>0.1628557500999478</v>
      </c>
    </row>
    <row r="23">
      <c r="A23" s="17" t="inlineStr">
        <is>
          <t>March</t>
        </is>
      </c>
      <c r="B23" s="18" t="n">
        <v>38</v>
      </c>
      <c r="C23" s="19" t="n">
        <v>52434.9</v>
      </c>
      <c r="D23" s="19" t="n">
        <v>10546.59</v>
      </c>
      <c r="E23" s="35" t="n">
        <v>0.2011368382508596</v>
      </c>
      <c r="F23" s="18" t="n">
        <v>7</v>
      </c>
      <c r="G23" s="19" t="n">
        <v>5962.5</v>
      </c>
      <c r="H23" s="19" t="n">
        <v>3080</v>
      </c>
      <c r="I23" s="35" t="n">
        <v>0.5165618448637317</v>
      </c>
      <c r="J23" s="18" t="n">
        <v>69</v>
      </c>
      <c r="K23" s="19" t="n">
        <v>96228.35000000001</v>
      </c>
      <c r="L23" s="19" t="n">
        <v>19700.38</v>
      </c>
      <c r="M23" s="35" t="n">
        <v>0.2047253226310126</v>
      </c>
    </row>
    <row r="24">
      <c r="A24" s="17" t="inlineStr">
        <is>
          <t>April</t>
        </is>
      </c>
      <c r="B24" s="18" t="n">
        <v>33</v>
      </c>
      <c r="C24" s="19" t="n">
        <v>49689.35</v>
      </c>
      <c r="D24" s="19" t="n">
        <v>8831.440000000001</v>
      </c>
      <c r="E24" s="35" t="n">
        <v>0.1777330554736579</v>
      </c>
      <c r="F24" s="18" t="n">
        <v>2</v>
      </c>
      <c r="G24" s="19" t="n">
        <v>19575</v>
      </c>
      <c r="H24" s="19" t="n">
        <v>2939.65</v>
      </c>
      <c r="I24" s="35" t="n">
        <v>0.1501736909323116</v>
      </c>
      <c r="J24" s="18" t="n">
        <v>44</v>
      </c>
      <c r="K24" s="19" t="n">
        <v>64165.43</v>
      </c>
      <c r="L24" s="19" t="n">
        <v>16668.05</v>
      </c>
      <c r="M24" s="35" t="n">
        <v>0.2597668245969831</v>
      </c>
    </row>
    <row r="26">
      <c r="A26" s="36" t="inlineStr">
        <is>
          <t>THE PLAN - bonus calculation</t>
        </is>
      </c>
    </row>
    <row r="27">
      <c r="A27" s="6" t="inlineStr">
        <is>
          <t>Month</t>
        </is>
      </c>
      <c r="B27" s="6" t="inlineStr">
        <is>
          <t>NB base</t>
        </is>
      </c>
      <c r="C27" s="6" t="inlineStr">
        <is>
          <t>NB col inc</t>
        </is>
      </c>
      <c r="D27" s="6" t="inlineStr">
        <is>
          <t>NB target</t>
        </is>
      </c>
      <c r="E27" s="6" t="inlineStr">
        <is>
          <t>REN base</t>
        </is>
      </c>
      <c r="F27" s="6" t="inlineStr">
        <is>
          <t>REN col inc</t>
        </is>
      </c>
      <c r="G27" s="6" t="inlineStr">
        <is>
          <t>REN target</t>
        </is>
      </c>
      <c r="H27" s="6" t="inlineStr">
        <is>
          <t>RWR target</t>
        </is>
      </c>
      <c r="I27" s="6" t="inlineStr">
        <is>
          <t>Retention</t>
        </is>
      </c>
      <c r="J27" s="6" t="inlineStr">
        <is>
          <t>Total target</t>
        </is>
      </c>
      <c r="K27" s="6" t="inlineStr">
        <is>
          <t>PAID after MIN</t>
        </is>
      </c>
      <c r="L27" s="6" t="inlineStr">
        <is>
          <t>Gates (NB/REN/RWR)</t>
        </is>
      </c>
      <c r="M27" s="6" t="inlineStr">
        <is>
          <t>vs Current</t>
        </is>
      </c>
      <c r="N27" s="6" t="inlineStr">
        <is>
          <t>Current Bonus</t>
        </is>
      </c>
    </row>
    <row r="28">
      <c r="A28" s="12" t="inlineStr">
        <is>
          <t>January</t>
        </is>
      </c>
      <c r="B28" s="11" t="n">
        <v>161</v>
      </c>
      <c r="C28" s="11" t="n">
        <v>0</v>
      </c>
      <c r="D28" s="11" t="n">
        <v>161</v>
      </c>
      <c r="E28" s="11" t="n">
        <v>288</v>
      </c>
      <c r="F28" s="11" t="n">
        <v>0</v>
      </c>
      <c r="G28" s="11" t="n">
        <v>288</v>
      </c>
      <c r="H28" s="11" t="n">
        <v>28.58941111111111</v>
      </c>
      <c r="I28" s="11" t="n">
        <v>225</v>
      </c>
      <c r="J28" s="11" t="n">
        <v>702.5894111111111</v>
      </c>
      <c r="K28" s="20" t="n">
        <v>513</v>
      </c>
      <c r="L28" s="37" t="inlineStr">
        <is>
          <t>n/Y/n</t>
        </is>
      </c>
      <c r="M28" s="11" t="n">
        <v>263</v>
      </c>
      <c r="N28" s="11" t="n">
        <v>250</v>
      </c>
    </row>
    <row r="29">
      <c r="A29" s="12" t="inlineStr">
        <is>
          <t>February</t>
        </is>
      </c>
      <c r="B29" s="11" t="n">
        <v>161</v>
      </c>
      <c r="C29" s="11" t="n">
        <v>0</v>
      </c>
      <c r="D29" s="11" t="n">
        <v>161</v>
      </c>
      <c r="E29" s="11" t="n">
        <v>336</v>
      </c>
      <c r="F29" s="11" t="n">
        <v>0</v>
      </c>
      <c r="G29" s="11" t="n">
        <v>336</v>
      </c>
      <c r="H29" s="11" t="n">
        <v>27</v>
      </c>
      <c r="I29" s="11" t="n">
        <v>225</v>
      </c>
      <c r="J29" s="11" t="n">
        <v>749</v>
      </c>
      <c r="K29" s="20" t="n">
        <v>561</v>
      </c>
      <c r="L29" s="37" t="inlineStr">
        <is>
          <t>n/Y/n</t>
        </is>
      </c>
      <c r="M29" s="11" t="n">
        <v>311</v>
      </c>
      <c r="N29" s="11" t="n">
        <v>250</v>
      </c>
    </row>
    <row r="30">
      <c r="A30" s="12" t="inlineStr">
        <is>
          <t>March</t>
        </is>
      </c>
      <c r="B30" s="11" t="n">
        <v>266</v>
      </c>
      <c r="C30" s="11" t="n">
        <v>0</v>
      </c>
      <c r="D30" s="11" t="n">
        <v>266</v>
      </c>
      <c r="E30" s="11" t="n">
        <v>414</v>
      </c>
      <c r="F30" s="11" t="n">
        <v>0</v>
      </c>
      <c r="G30" s="11" t="n">
        <v>414</v>
      </c>
      <c r="H30" s="11" t="n">
        <v>16.9375</v>
      </c>
      <c r="I30" s="11" t="n">
        <v>225</v>
      </c>
      <c r="J30" s="11" t="n">
        <v>921.9375</v>
      </c>
      <c r="K30" s="20" t="n">
        <v>921.9375</v>
      </c>
      <c r="L30" s="27" t="inlineStr">
        <is>
          <t>Y/Y/Y</t>
        </is>
      </c>
      <c r="M30" s="11" t="n">
        <v>571.9375</v>
      </c>
      <c r="N30" s="11" t="n">
        <v>350</v>
      </c>
    </row>
    <row r="31">
      <c r="A31" s="12" t="inlineStr">
        <is>
          <t>April</t>
        </is>
      </c>
      <c r="B31" s="11" t="n">
        <v>231</v>
      </c>
      <c r="C31" s="11" t="n">
        <v>0</v>
      </c>
      <c r="D31" s="11" t="n">
        <v>231</v>
      </c>
      <c r="E31" s="11" t="n">
        <v>264</v>
      </c>
      <c r="F31" s="11" t="n">
        <v>41.96158888888889</v>
      </c>
      <c r="G31" s="11" t="n">
        <v>305.9615888888889</v>
      </c>
      <c r="H31" s="11" t="n">
        <v>8</v>
      </c>
      <c r="I31" s="11" t="n">
        <v>225</v>
      </c>
      <c r="J31" s="11" t="n">
        <v>769.9615888888889</v>
      </c>
      <c r="K31" s="20" t="n">
        <v>769.9615888888889</v>
      </c>
      <c r="L31" s="27" t="inlineStr">
        <is>
          <t>Y/Y/Y</t>
        </is>
      </c>
      <c r="M31" s="11" t="n">
        <v>419.9615888888889</v>
      </c>
      <c r="N31" s="11" t="n">
        <v>350</v>
      </c>
    </row>
    <row r="32">
      <c r="A32" s="22" t="inlineStr">
        <is>
          <t>4-Month Total</t>
        </is>
      </c>
      <c r="B32" s="38" t="n"/>
      <c r="C32" s="38" t="n"/>
      <c r="D32" s="38" t="n"/>
      <c r="E32" s="38" t="n"/>
      <c r="F32" s="38" t="n"/>
      <c r="G32" s="38" t="n"/>
      <c r="H32" s="38" t="n"/>
      <c r="I32" s="38" t="n"/>
      <c r="J32" s="38" t="n"/>
      <c r="K32" s="23" t="n">
        <v>2765.899088888889</v>
      </c>
      <c r="L32" s="38" t="n"/>
      <c r="M32" s="23" t="n">
        <v>1565.899088888889</v>
      </c>
      <c r="N32" s="23" t="n">
        <v>1200</v>
      </c>
    </row>
    <row r="34">
      <c r="A34" s="5" t="inlineStr">
        <is>
          <t>Melissa Hernandez</t>
        </is>
      </c>
    </row>
    <row r="35">
      <c r="A35" s="6" t="inlineStr">
        <is>
          <t>Month</t>
        </is>
      </c>
      <c r="B35" s="6" t="inlineStr">
        <is>
          <t>NB Count</t>
        </is>
      </c>
      <c r="C35" s="6" t="inlineStr">
        <is>
          <t>NB Premium</t>
        </is>
      </c>
      <c r="D35" s="6" t="inlineStr">
        <is>
          <t>NB Collected</t>
        </is>
      </c>
      <c r="E35" s="6" t="inlineStr">
        <is>
          <t>NB Coll %</t>
        </is>
      </c>
      <c r="F35" s="6" t="inlineStr">
        <is>
          <t>RWR Count</t>
        </is>
      </c>
      <c r="G35" s="6" t="inlineStr">
        <is>
          <t>RWR Premium</t>
        </is>
      </c>
      <c r="H35" s="6" t="inlineStr">
        <is>
          <t>RWR Collected</t>
        </is>
      </c>
      <c r="I35" s="6" t="inlineStr">
        <is>
          <t>RWR Coll %</t>
        </is>
      </c>
      <c r="J35" s="6" t="inlineStr">
        <is>
          <t>REN Count</t>
        </is>
      </c>
      <c r="K35" s="6" t="inlineStr">
        <is>
          <t>REN Premium</t>
        </is>
      </c>
      <c r="L35" s="6" t="inlineStr">
        <is>
          <t>REN Collected</t>
        </is>
      </c>
      <c r="M35" s="6" t="inlineStr">
        <is>
          <t>REN Coll %</t>
        </is>
      </c>
    </row>
    <row r="36">
      <c r="A36" s="17" t="inlineStr">
        <is>
          <t>January</t>
        </is>
      </c>
      <c r="B36" s="18" t="n">
        <v>31</v>
      </c>
      <c r="C36" s="19" t="n">
        <v>37039</v>
      </c>
      <c r="D36" s="19" t="n">
        <v>7651.14</v>
      </c>
      <c r="E36" s="35" t="n">
        <v>0.2065698317989147</v>
      </c>
      <c r="F36" s="18" t="n">
        <v>0</v>
      </c>
      <c r="G36" s="19" t="n">
        <v>0</v>
      </c>
      <c r="H36" s="19" t="n">
        <v>0</v>
      </c>
      <c r="I36" s="35" t="n">
        <v>0</v>
      </c>
      <c r="J36" s="18" t="n">
        <v>48</v>
      </c>
      <c r="K36" s="19" t="n">
        <v>63374.5</v>
      </c>
      <c r="L36" s="19" t="n">
        <v>11897.57</v>
      </c>
      <c r="M36" s="35" t="n">
        <v>0.1877343410993381</v>
      </c>
    </row>
    <row r="37">
      <c r="A37" s="17" t="inlineStr">
        <is>
          <t>February</t>
        </is>
      </c>
      <c r="B37" s="18" t="n">
        <v>13</v>
      </c>
      <c r="C37" s="19" t="n">
        <v>7659.5</v>
      </c>
      <c r="D37" s="19" t="n">
        <v>2095.02</v>
      </c>
      <c r="E37" s="35" t="n">
        <v>0.2735191592140479</v>
      </c>
      <c r="F37" s="18" t="n">
        <v>1</v>
      </c>
      <c r="G37" s="19" t="n">
        <v>1063</v>
      </c>
      <c r="H37" s="19" t="n">
        <v>91.75</v>
      </c>
      <c r="I37" s="35" t="n">
        <v>0.08631232361241768</v>
      </c>
      <c r="J37" s="18" t="n">
        <v>37</v>
      </c>
      <c r="K37" s="19" t="n">
        <v>49990.7</v>
      </c>
      <c r="L37" s="19" t="n">
        <v>6802.73</v>
      </c>
      <c r="M37" s="35" t="n">
        <v>0.1360799108634206</v>
      </c>
    </row>
    <row r="38">
      <c r="A38" s="17" t="inlineStr">
        <is>
          <t>March</t>
        </is>
      </c>
      <c r="B38" s="18" t="n">
        <v>28</v>
      </c>
      <c r="C38" s="19" t="n">
        <v>39759.7</v>
      </c>
      <c r="D38" s="19" t="n">
        <v>5669.41</v>
      </c>
      <c r="E38" s="35" t="n">
        <v>0.142591870663008</v>
      </c>
      <c r="F38" s="18" t="n">
        <v>1</v>
      </c>
      <c r="G38" s="19" t="n">
        <v>1034</v>
      </c>
      <c r="H38" s="19" t="n">
        <v>180.45</v>
      </c>
      <c r="I38" s="35" t="n">
        <v>0.1745164410058027</v>
      </c>
      <c r="J38" s="18" t="n">
        <v>48</v>
      </c>
      <c r="K38" s="19" t="n">
        <v>56860.6</v>
      </c>
      <c r="L38" s="19" t="n">
        <v>8620.469999999999</v>
      </c>
      <c r="M38" s="35" t="n">
        <v>0.1516070882122243</v>
      </c>
    </row>
    <row r="39">
      <c r="A39" s="17" t="inlineStr">
        <is>
          <t>April</t>
        </is>
      </c>
      <c r="B39" s="18" t="n">
        <v>15</v>
      </c>
      <c r="C39" s="19" t="n">
        <v>19288.35</v>
      </c>
      <c r="D39" s="19" t="n">
        <v>4344.3</v>
      </c>
      <c r="E39" s="35" t="n">
        <v>0.225229218673448</v>
      </c>
      <c r="F39" s="18" t="n">
        <v>0</v>
      </c>
      <c r="G39" s="19" t="n">
        <v>0</v>
      </c>
      <c r="H39" s="19" t="n">
        <v>0</v>
      </c>
      <c r="I39" s="35" t="n">
        <v>0</v>
      </c>
      <c r="J39" s="18" t="n">
        <v>37</v>
      </c>
      <c r="K39" s="19" t="n">
        <v>43396.2</v>
      </c>
      <c r="L39" s="19" t="n">
        <v>7660.7</v>
      </c>
      <c r="M39" s="35" t="n">
        <v>0.1765292813656495</v>
      </c>
    </row>
    <row r="41">
      <c r="A41" s="36" t="inlineStr">
        <is>
          <t>THE PLAN - bonus calculation</t>
        </is>
      </c>
    </row>
    <row r="42">
      <c r="A42" s="6" t="inlineStr">
        <is>
          <t>Month</t>
        </is>
      </c>
      <c r="B42" s="6" t="inlineStr">
        <is>
          <t>NB base</t>
        </is>
      </c>
      <c r="C42" s="6" t="inlineStr">
        <is>
          <t>NB col inc</t>
        </is>
      </c>
      <c r="D42" s="6" t="inlineStr">
        <is>
          <t>NB target</t>
        </is>
      </c>
      <c r="E42" s="6" t="inlineStr">
        <is>
          <t>REN base</t>
        </is>
      </c>
      <c r="F42" s="6" t="inlineStr">
        <is>
          <t>REN col inc</t>
        </is>
      </c>
      <c r="G42" s="6" t="inlineStr">
        <is>
          <t>REN target</t>
        </is>
      </c>
      <c r="H42" s="6" t="inlineStr">
        <is>
          <t>RWR target</t>
        </is>
      </c>
      <c r="I42" s="6" t="inlineStr">
        <is>
          <t>Retention</t>
        </is>
      </c>
      <c r="J42" s="6" t="inlineStr">
        <is>
          <t>Total target</t>
        </is>
      </c>
      <c r="K42" s="6" t="inlineStr">
        <is>
          <t>PAID after MIN</t>
        </is>
      </c>
      <c r="L42" s="6" t="inlineStr">
        <is>
          <t>Gates (NB/REN/RWR)</t>
        </is>
      </c>
      <c r="M42" s="6" t="inlineStr">
        <is>
          <t>vs Current</t>
        </is>
      </c>
      <c r="N42" s="6" t="inlineStr">
        <is>
          <t>Current Bonus</t>
        </is>
      </c>
    </row>
    <row r="43">
      <c r="A43" s="12" t="inlineStr">
        <is>
          <t>January</t>
        </is>
      </c>
      <c r="B43" s="11" t="n">
        <v>155</v>
      </c>
      <c r="C43" s="11" t="n">
        <v>0</v>
      </c>
      <c r="D43" s="11" t="n">
        <v>155</v>
      </c>
      <c r="E43" s="11" t="n">
        <v>288</v>
      </c>
      <c r="F43" s="11" t="n">
        <v>0</v>
      </c>
      <c r="G43" s="11" t="n">
        <v>288</v>
      </c>
      <c r="H43" s="11" t="n">
        <v>0</v>
      </c>
      <c r="I43" s="11" t="n">
        <v>225</v>
      </c>
      <c r="J43" s="11" t="n">
        <v>668</v>
      </c>
      <c r="K43" s="20" t="n">
        <v>513</v>
      </c>
      <c r="L43" s="37" t="inlineStr">
        <is>
          <t>n/Y/n</t>
        </is>
      </c>
      <c r="M43" s="11" t="n">
        <v>263</v>
      </c>
      <c r="N43" s="11" t="n">
        <v>250</v>
      </c>
    </row>
    <row r="44">
      <c r="A44" s="12" t="inlineStr">
        <is>
          <t>February</t>
        </is>
      </c>
      <c r="B44" s="11" t="n">
        <v>65</v>
      </c>
      <c r="C44" s="11" t="n">
        <v>0</v>
      </c>
      <c r="D44" s="11" t="n">
        <v>65</v>
      </c>
      <c r="E44" s="11" t="n">
        <v>222</v>
      </c>
      <c r="F44" s="11" t="n">
        <v>0</v>
      </c>
      <c r="G44" s="11" t="n">
        <v>222</v>
      </c>
      <c r="H44" s="11" t="n">
        <v>2</v>
      </c>
      <c r="I44" s="11" t="n">
        <v>225</v>
      </c>
      <c r="J44" s="11" t="n">
        <v>514</v>
      </c>
      <c r="K44" s="20" t="n">
        <v>447</v>
      </c>
      <c r="L44" s="37" t="inlineStr">
        <is>
          <t>n/Y/n</t>
        </is>
      </c>
      <c r="M44" s="11" t="n">
        <v>447</v>
      </c>
      <c r="N44" s="11" t="n">
        <v>0</v>
      </c>
    </row>
    <row r="45">
      <c r="A45" s="12" t="inlineStr">
        <is>
          <t>March</t>
        </is>
      </c>
      <c r="B45" s="11" t="n">
        <v>196</v>
      </c>
      <c r="C45" s="11" t="n">
        <v>0</v>
      </c>
      <c r="D45" s="11" t="n">
        <v>196</v>
      </c>
      <c r="E45" s="11" t="n">
        <v>192</v>
      </c>
      <c r="F45" s="11" t="n">
        <v>0</v>
      </c>
      <c r="G45" s="11" t="n">
        <v>192</v>
      </c>
      <c r="H45" s="11" t="n">
        <v>2</v>
      </c>
      <c r="I45" s="11" t="n">
        <v>225</v>
      </c>
      <c r="J45" s="11" t="n">
        <v>615</v>
      </c>
      <c r="K45" s="20" t="n">
        <v>417</v>
      </c>
      <c r="L45" s="37" t="inlineStr">
        <is>
          <t>n/Y/n</t>
        </is>
      </c>
      <c r="M45" s="11" t="n">
        <v>417</v>
      </c>
      <c r="N45" s="11" t="n">
        <v>0</v>
      </c>
    </row>
    <row r="46">
      <c r="A46" s="12" t="inlineStr">
        <is>
          <t>April</t>
        </is>
      </c>
      <c r="B46" s="11" t="n">
        <v>105</v>
      </c>
      <c r="C46" s="11" t="n">
        <v>0</v>
      </c>
      <c r="D46" s="11" t="n">
        <v>105</v>
      </c>
      <c r="E46" s="11" t="n">
        <v>148</v>
      </c>
      <c r="F46" s="11" t="n">
        <v>0</v>
      </c>
      <c r="G46" s="11" t="n">
        <v>148</v>
      </c>
      <c r="H46" s="11" t="n">
        <v>0</v>
      </c>
      <c r="I46" s="11" t="n">
        <v>225</v>
      </c>
      <c r="J46" s="11" t="n">
        <v>478</v>
      </c>
      <c r="K46" s="20" t="n">
        <v>373</v>
      </c>
      <c r="L46" s="37" t="inlineStr">
        <is>
          <t>n/Y/n</t>
        </is>
      </c>
      <c r="M46" s="11" t="n">
        <v>373</v>
      </c>
      <c r="N46" s="11" t="n">
        <v>0</v>
      </c>
    </row>
    <row r="47">
      <c r="A47" s="22" t="inlineStr">
        <is>
          <t>4-Month Total</t>
        </is>
      </c>
      <c r="B47" s="38" t="n"/>
      <c r="C47" s="38" t="n"/>
      <c r="D47" s="38" t="n"/>
      <c r="E47" s="38" t="n"/>
      <c r="F47" s="38" t="n"/>
      <c r="G47" s="38" t="n"/>
      <c r="H47" s="38" t="n"/>
      <c r="I47" s="38" t="n"/>
      <c r="J47" s="38" t="n"/>
      <c r="K47" s="23" t="n">
        <v>1750</v>
      </c>
      <c r="L47" s="38" t="n"/>
      <c r="M47" s="23" t="n">
        <v>1500</v>
      </c>
      <c r="N47" s="23" t="n">
        <v>250</v>
      </c>
    </row>
    <row r="49">
      <c r="A49" s="5" t="inlineStr">
        <is>
          <t>Flavia Parra</t>
        </is>
      </c>
    </row>
    <row r="50">
      <c r="A50" s="6" t="inlineStr">
        <is>
          <t>Month</t>
        </is>
      </c>
      <c r="B50" s="6" t="inlineStr">
        <is>
          <t>NB Count</t>
        </is>
      </c>
      <c r="C50" s="6" t="inlineStr">
        <is>
          <t>NB Premium</t>
        </is>
      </c>
      <c r="D50" s="6" t="inlineStr">
        <is>
          <t>NB Collected</t>
        </is>
      </c>
      <c r="E50" s="6" t="inlineStr">
        <is>
          <t>NB Coll %</t>
        </is>
      </c>
      <c r="F50" s="6" t="inlineStr">
        <is>
          <t>RWR Count</t>
        </is>
      </c>
      <c r="G50" s="6" t="inlineStr">
        <is>
          <t>RWR Premium</t>
        </is>
      </c>
      <c r="H50" s="6" t="inlineStr">
        <is>
          <t>RWR Collected</t>
        </is>
      </c>
      <c r="I50" s="6" t="inlineStr">
        <is>
          <t>RWR Coll %</t>
        </is>
      </c>
      <c r="J50" s="6" t="inlineStr">
        <is>
          <t>REN Count</t>
        </is>
      </c>
      <c r="K50" s="6" t="inlineStr">
        <is>
          <t>REN Premium</t>
        </is>
      </c>
      <c r="L50" s="6" t="inlineStr">
        <is>
          <t>REN Collected</t>
        </is>
      </c>
      <c r="M50" s="6" t="inlineStr">
        <is>
          <t>REN Coll %</t>
        </is>
      </c>
    </row>
    <row r="51">
      <c r="A51" s="17" t="inlineStr">
        <is>
          <t>January</t>
        </is>
      </c>
      <c r="B51" s="18" t="n">
        <v>19</v>
      </c>
      <c r="C51" s="19" t="n">
        <v>28525.05</v>
      </c>
      <c r="D51" s="19" t="n">
        <v>5657.4</v>
      </c>
      <c r="E51" s="35" t="n">
        <v>0.1983309406994904</v>
      </c>
      <c r="F51" s="18" t="n">
        <v>1</v>
      </c>
      <c r="G51" s="19" t="n">
        <v>1464.35</v>
      </c>
      <c r="H51" s="19" t="n">
        <v>302.12</v>
      </c>
      <c r="I51" s="35" t="n">
        <v>0.2063167958479872</v>
      </c>
      <c r="J51" s="18" t="n">
        <v>35</v>
      </c>
      <c r="K51" s="19" t="n">
        <v>39558.05</v>
      </c>
      <c r="L51" s="19" t="n">
        <v>8795.290000000001</v>
      </c>
      <c r="M51" s="35" t="n">
        <v>0.2223388159932049</v>
      </c>
    </row>
    <row r="52">
      <c r="A52" s="17" t="inlineStr">
        <is>
          <t>February</t>
        </is>
      </c>
      <c r="B52" s="18" t="n">
        <v>23</v>
      </c>
      <c r="C52" s="19" t="n">
        <v>22247.7</v>
      </c>
      <c r="D52" s="19" t="n">
        <v>3832.59</v>
      </c>
      <c r="E52" s="35" t="n">
        <v>0.1722690435415796</v>
      </c>
      <c r="F52" s="18" t="n">
        <v>2</v>
      </c>
      <c r="G52" s="19" t="n">
        <v>2099</v>
      </c>
      <c r="H52" s="19" t="n">
        <v>321.01</v>
      </c>
      <c r="I52" s="35" t="n">
        <v>0.152934730824202</v>
      </c>
      <c r="J52" s="18" t="n">
        <v>42</v>
      </c>
      <c r="K52" s="19" t="n">
        <v>43687.45</v>
      </c>
      <c r="L52" s="19" t="n">
        <v>13820.09</v>
      </c>
      <c r="M52" s="35" t="n">
        <v>0.3163400473133589</v>
      </c>
    </row>
    <row r="53">
      <c r="A53" s="17" t="inlineStr">
        <is>
          <t>March</t>
        </is>
      </c>
      <c r="B53" s="18" t="n">
        <v>27</v>
      </c>
      <c r="C53" s="19" t="n">
        <v>31269</v>
      </c>
      <c r="D53" s="19" t="n">
        <v>8642.02</v>
      </c>
      <c r="E53" s="35" t="n">
        <v>0.2763766030253606</v>
      </c>
      <c r="F53" s="18" t="n">
        <v>0</v>
      </c>
      <c r="G53" s="19" t="n">
        <v>0</v>
      </c>
      <c r="H53" s="19" t="n">
        <v>0</v>
      </c>
      <c r="I53" s="35" t="n">
        <v>0</v>
      </c>
      <c r="J53" s="18" t="n">
        <v>27</v>
      </c>
      <c r="K53" s="19" t="n">
        <v>23526.7</v>
      </c>
      <c r="L53" s="19" t="n">
        <v>9060.629999999999</v>
      </c>
      <c r="M53" s="35" t="n">
        <v>0.3851211602137146</v>
      </c>
    </row>
    <row r="54">
      <c r="A54" s="17" t="inlineStr">
        <is>
          <t>April</t>
        </is>
      </c>
      <c r="B54" s="18" t="n">
        <v>23</v>
      </c>
      <c r="C54" s="19" t="n">
        <v>29581.05</v>
      </c>
      <c r="D54" s="19" t="n">
        <v>6600.51</v>
      </c>
      <c r="E54" s="35" t="n">
        <v>0.2231330530863509</v>
      </c>
      <c r="F54" s="18" t="n">
        <v>1</v>
      </c>
      <c r="G54" s="19" t="n">
        <v>885</v>
      </c>
      <c r="H54" s="19" t="n">
        <v>885</v>
      </c>
      <c r="I54" s="35" t="n">
        <v>1</v>
      </c>
      <c r="J54" s="18" t="n">
        <v>31</v>
      </c>
      <c r="K54" s="19" t="n">
        <v>30832.76</v>
      </c>
      <c r="L54" s="19" t="n">
        <v>7710.62</v>
      </c>
      <c r="M54" s="35" t="n">
        <v>0.2500788122762931</v>
      </c>
    </row>
    <row r="56">
      <c r="A56" s="36" t="inlineStr">
        <is>
          <t>THE PLAN - bonus calculation</t>
        </is>
      </c>
    </row>
    <row r="57">
      <c r="A57" s="6" t="inlineStr">
        <is>
          <t>Month</t>
        </is>
      </c>
      <c r="B57" s="6" t="inlineStr">
        <is>
          <t>NB base</t>
        </is>
      </c>
      <c r="C57" s="6" t="inlineStr">
        <is>
          <t>NB col inc</t>
        </is>
      </c>
      <c r="D57" s="6" t="inlineStr">
        <is>
          <t>NB target</t>
        </is>
      </c>
      <c r="E57" s="6" t="inlineStr">
        <is>
          <t>REN base</t>
        </is>
      </c>
      <c r="F57" s="6" t="inlineStr">
        <is>
          <t>REN col inc</t>
        </is>
      </c>
      <c r="G57" s="6" t="inlineStr">
        <is>
          <t>REN target</t>
        </is>
      </c>
      <c r="H57" s="6" t="inlineStr">
        <is>
          <t>RWR target</t>
        </is>
      </c>
      <c r="I57" s="6" t="inlineStr">
        <is>
          <t>Retention</t>
        </is>
      </c>
      <c r="J57" s="6" t="inlineStr">
        <is>
          <t>Total target</t>
        </is>
      </c>
      <c r="K57" s="6" t="inlineStr">
        <is>
          <t>PAID after MIN</t>
        </is>
      </c>
      <c r="L57" s="6" t="inlineStr">
        <is>
          <t>Gates (NB/REN/RWR)</t>
        </is>
      </c>
      <c r="M57" s="6" t="inlineStr">
        <is>
          <t>vs Current</t>
        </is>
      </c>
      <c r="N57" s="6" t="inlineStr">
        <is>
          <t>Current Bonus</t>
        </is>
      </c>
    </row>
    <row r="58">
      <c r="A58" s="12" t="inlineStr">
        <is>
          <t>January</t>
        </is>
      </c>
      <c r="B58" s="11" t="n">
        <v>133</v>
      </c>
      <c r="C58" s="11" t="n">
        <v>0</v>
      </c>
      <c r="D58" s="11" t="n">
        <v>133</v>
      </c>
      <c r="E58" s="11" t="n">
        <v>140</v>
      </c>
      <c r="F58" s="11" t="n">
        <v>0</v>
      </c>
      <c r="G58" s="11" t="n">
        <v>140</v>
      </c>
      <c r="H58" s="11" t="n">
        <v>3</v>
      </c>
      <c r="I58" s="11" t="n">
        <v>225</v>
      </c>
      <c r="J58" s="11" t="n">
        <v>501</v>
      </c>
      <c r="K58" s="20" t="n">
        <v>365</v>
      </c>
      <c r="L58" s="37" t="inlineStr">
        <is>
          <t>n/Y/n</t>
        </is>
      </c>
      <c r="M58" s="11" t="n">
        <v>365</v>
      </c>
      <c r="N58" s="11" t="n">
        <v>0</v>
      </c>
    </row>
    <row r="59">
      <c r="A59" s="12" t="inlineStr">
        <is>
          <t>February</t>
        </is>
      </c>
      <c r="B59" s="11" t="n">
        <v>115</v>
      </c>
      <c r="C59" s="11" t="n">
        <v>0</v>
      </c>
      <c r="D59" s="11" t="n">
        <v>115</v>
      </c>
      <c r="E59" s="11" t="n">
        <v>168</v>
      </c>
      <c r="F59" s="11" t="n">
        <v>20.54161111111111</v>
      </c>
      <c r="G59" s="11" t="n">
        <v>188.5416111111111</v>
      </c>
      <c r="H59" s="11" t="n">
        <v>4</v>
      </c>
      <c r="I59" s="11" t="n">
        <v>225</v>
      </c>
      <c r="J59" s="11" t="n">
        <v>532.5416111111111</v>
      </c>
      <c r="K59" s="20" t="n">
        <v>413.5416111111111</v>
      </c>
      <c r="L59" s="37" t="inlineStr">
        <is>
          <t>n/Y/n</t>
        </is>
      </c>
      <c r="M59" s="11" t="n">
        <v>413.5416111111111</v>
      </c>
      <c r="N59" s="11" t="n">
        <v>0</v>
      </c>
    </row>
    <row r="60">
      <c r="A60" s="12" t="inlineStr">
        <is>
          <t>March</t>
        </is>
      </c>
      <c r="B60" s="11" t="n">
        <v>135</v>
      </c>
      <c r="C60" s="11" t="n">
        <v>16.74333333333333</v>
      </c>
      <c r="D60" s="11" t="n">
        <v>151.7433333333333</v>
      </c>
      <c r="E60" s="11" t="n">
        <v>108</v>
      </c>
      <c r="F60" s="11" t="n">
        <v>8.140777777777778</v>
      </c>
      <c r="G60" s="11" t="n">
        <v>116.1407777777778</v>
      </c>
      <c r="H60" s="11" t="n">
        <v>0</v>
      </c>
      <c r="I60" s="11" t="n">
        <v>225</v>
      </c>
      <c r="J60" s="11" t="n">
        <v>492.8841111111111</v>
      </c>
      <c r="K60" s="20" t="n">
        <v>341.1407777777778</v>
      </c>
      <c r="L60" s="37" t="inlineStr">
        <is>
          <t>n/Y/n</t>
        </is>
      </c>
      <c r="M60" s="11" t="n">
        <v>341.1407777777778</v>
      </c>
      <c r="N60" s="11" t="n">
        <v>0</v>
      </c>
    </row>
    <row r="61">
      <c r="A61" s="12" t="inlineStr">
        <is>
          <t>April</t>
        </is>
      </c>
      <c r="B61" s="11" t="n">
        <v>161</v>
      </c>
      <c r="C61" s="11" t="n">
        <v>0</v>
      </c>
      <c r="D61" s="11" t="n">
        <v>161</v>
      </c>
      <c r="E61" s="11" t="n">
        <v>124</v>
      </c>
      <c r="F61" s="11" t="n">
        <v>13.59195555555555</v>
      </c>
      <c r="G61" s="11" t="n">
        <v>137.5919555555556</v>
      </c>
      <c r="H61" s="11" t="n">
        <v>2.791666666666667</v>
      </c>
      <c r="I61" s="11" t="n">
        <v>225</v>
      </c>
      <c r="J61" s="11" t="n">
        <v>526.3836222222222</v>
      </c>
      <c r="K61" s="20" t="n">
        <v>362.5919555555556</v>
      </c>
      <c r="L61" s="37" t="inlineStr">
        <is>
          <t>n/Y/n</t>
        </is>
      </c>
      <c r="M61" s="11" t="n">
        <v>362.5919555555556</v>
      </c>
      <c r="N61" s="11" t="n">
        <v>0</v>
      </c>
    </row>
    <row r="62">
      <c r="A62" s="22" t="inlineStr">
        <is>
          <t>4-Month Total</t>
        </is>
      </c>
      <c r="B62" s="38" t="n"/>
      <c r="C62" s="38" t="n"/>
      <c r="D62" s="38" t="n"/>
      <c r="E62" s="38" t="n"/>
      <c r="F62" s="38" t="n"/>
      <c r="G62" s="38" t="n"/>
      <c r="H62" s="38" t="n"/>
      <c r="I62" s="38" t="n"/>
      <c r="J62" s="38" t="n"/>
      <c r="K62" s="23" t="n">
        <v>1482.274344444445</v>
      </c>
      <c r="L62" s="38" t="n"/>
      <c r="M62" s="23" t="n">
        <v>1482.274344444445</v>
      </c>
      <c r="N62" s="23" t="n">
        <v>0</v>
      </c>
    </row>
    <row r="64">
      <c r="A64" s="5" t="inlineStr">
        <is>
          <t>Thalia Rojas</t>
        </is>
      </c>
    </row>
    <row r="65">
      <c r="A65" s="6" t="inlineStr">
        <is>
          <t>Month</t>
        </is>
      </c>
      <c r="B65" s="6" t="inlineStr">
        <is>
          <t>NB Count</t>
        </is>
      </c>
      <c r="C65" s="6" t="inlineStr">
        <is>
          <t>NB Premium</t>
        </is>
      </c>
      <c r="D65" s="6" t="inlineStr">
        <is>
          <t>NB Collected</t>
        </is>
      </c>
      <c r="E65" s="6" t="inlineStr">
        <is>
          <t>NB Coll %</t>
        </is>
      </c>
      <c r="F65" s="6" t="inlineStr">
        <is>
          <t>RWR Count</t>
        </is>
      </c>
      <c r="G65" s="6" t="inlineStr">
        <is>
          <t>RWR Premium</t>
        </is>
      </c>
      <c r="H65" s="6" t="inlineStr">
        <is>
          <t>RWR Collected</t>
        </is>
      </c>
      <c r="I65" s="6" t="inlineStr">
        <is>
          <t>RWR Coll %</t>
        </is>
      </c>
      <c r="J65" s="6" t="inlineStr">
        <is>
          <t>REN Count</t>
        </is>
      </c>
      <c r="K65" s="6" t="inlineStr">
        <is>
          <t>REN Premium</t>
        </is>
      </c>
      <c r="L65" s="6" t="inlineStr">
        <is>
          <t>REN Collected</t>
        </is>
      </c>
      <c r="M65" s="6" t="inlineStr">
        <is>
          <t>REN Coll %</t>
        </is>
      </c>
    </row>
    <row r="66">
      <c r="A66" s="17" t="inlineStr">
        <is>
          <t>January</t>
        </is>
      </c>
      <c r="B66" s="18" t="n">
        <v>10</v>
      </c>
      <c r="C66" s="19" t="n">
        <v>15503.9</v>
      </c>
      <c r="D66" s="19" t="n">
        <v>2238.28</v>
      </c>
      <c r="E66" s="35" t="n">
        <v>0.1443688362283039</v>
      </c>
      <c r="F66" s="18" t="n">
        <v>4</v>
      </c>
      <c r="G66" s="19" t="n">
        <v>3690</v>
      </c>
      <c r="H66" s="19" t="n">
        <v>642.04</v>
      </c>
      <c r="I66" s="35" t="n">
        <v>0.1739945799457994</v>
      </c>
      <c r="J66" s="18" t="n">
        <v>28</v>
      </c>
      <c r="K66" s="19" t="n">
        <v>33083.93</v>
      </c>
      <c r="L66" s="19" t="n">
        <v>6461.48</v>
      </c>
      <c r="M66" s="35" t="n">
        <v>0.1953056967536807</v>
      </c>
    </row>
    <row r="67">
      <c r="A67" s="17" t="inlineStr">
        <is>
          <t>February</t>
        </is>
      </c>
      <c r="B67" s="18" t="n">
        <v>14</v>
      </c>
      <c r="C67" s="19" t="n">
        <v>19414.25</v>
      </c>
      <c r="D67" s="19" t="n">
        <v>3640.91</v>
      </c>
      <c r="E67" s="35" t="n">
        <v>0.1875380197535315</v>
      </c>
      <c r="F67" s="18" t="n">
        <v>5</v>
      </c>
      <c r="G67" s="19" t="n">
        <v>7446</v>
      </c>
      <c r="H67" s="19" t="n">
        <v>3293.14</v>
      </c>
      <c r="I67" s="35" t="n">
        <v>0.442269674993285</v>
      </c>
      <c r="J67" s="18" t="n">
        <v>24</v>
      </c>
      <c r="K67" s="19" t="n">
        <v>28298.16</v>
      </c>
      <c r="L67" s="19" t="n">
        <v>5276.12</v>
      </c>
      <c r="M67" s="35" t="n">
        <v>0.186447458067945</v>
      </c>
    </row>
    <row r="68">
      <c r="A68" s="17" t="inlineStr">
        <is>
          <t>March</t>
        </is>
      </c>
      <c r="B68" s="18" t="n">
        <v>19</v>
      </c>
      <c r="C68" s="19" t="n">
        <v>17843.69</v>
      </c>
      <c r="D68" s="19" t="n">
        <v>4965.76</v>
      </c>
      <c r="E68" s="35" t="n">
        <v>0.2782922142225067</v>
      </c>
      <c r="F68" s="18" t="n">
        <v>6</v>
      </c>
      <c r="G68" s="19" t="n">
        <v>5643.9</v>
      </c>
      <c r="H68" s="19" t="n">
        <v>1575.86</v>
      </c>
      <c r="I68" s="35" t="n">
        <v>0.2792147274048087</v>
      </c>
      <c r="J68" s="18" t="n">
        <v>19</v>
      </c>
      <c r="K68" s="19" t="n">
        <v>19840.85</v>
      </c>
      <c r="L68" s="19" t="n">
        <v>3981.64</v>
      </c>
      <c r="M68" s="35" t="n">
        <v>0.2006789023655741</v>
      </c>
    </row>
    <row r="69">
      <c r="A69" s="17" t="inlineStr">
        <is>
          <t>April</t>
        </is>
      </c>
      <c r="B69" s="18" t="n">
        <v>9</v>
      </c>
      <c r="C69" s="19" t="n">
        <v>14099</v>
      </c>
      <c r="D69" s="19" t="n">
        <v>3941.94</v>
      </c>
      <c r="E69" s="35" t="n">
        <v>0.2795900418469395</v>
      </c>
      <c r="F69" s="18" t="n">
        <v>3</v>
      </c>
      <c r="G69" s="19" t="n">
        <v>3617</v>
      </c>
      <c r="H69" s="19" t="n">
        <v>3096.58</v>
      </c>
      <c r="I69" s="35" t="n">
        <v>0.8561183301078241</v>
      </c>
      <c r="J69" s="18" t="n">
        <v>29</v>
      </c>
      <c r="K69" s="19" t="n">
        <v>39794.4</v>
      </c>
      <c r="L69" s="19" t="n">
        <v>7674.9</v>
      </c>
      <c r="M69" s="35" t="n">
        <v>0.1928638200349798</v>
      </c>
    </row>
    <row r="71">
      <c r="A71" s="36" t="inlineStr">
        <is>
          <t>THE PLAN - bonus calculation</t>
        </is>
      </c>
    </row>
    <row r="72">
      <c r="A72" s="6" t="inlineStr">
        <is>
          <t>Month</t>
        </is>
      </c>
      <c r="B72" s="6" t="inlineStr">
        <is>
          <t>NB base</t>
        </is>
      </c>
      <c r="C72" s="6" t="inlineStr">
        <is>
          <t>NB col inc</t>
        </is>
      </c>
      <c r="D72" s="6" t="inlineStr">
        <is>
          <t>NB target</t>
        </is>
      </c>
      <c r="E72" s="6" t="inlineStr">
        <is>
          <t>REN base</t>
        </is>
      </c>
      <c r="F72" s="6" t="inlineStr">
        <is>
          <t>REN col inc</t>
        </is>
      </c>
      <c r="G72" s="6" t="inlineStr">
        <is>
          <t>REN target</t>
        </is>
      </c>
      <c r="H72" s="6" t="inlineStr">
        <is>
          <t>RWR target</t>
        </is>
      </c>
      <c r="I72" s="6" t="inlineStr">
        <is>
          <t>Retention</t>
        </is>
      </c>
      <c r="J72" s="6" t="inlineStr">
        <is>
          <t>Total target</t>
        </is>
      </c>
      <c r="K72" s="6" t="inlineStr">
        <is>
          <t>PAID after MIN</t>
        </is>
      </c>
      <c r="L72" s="6" t="inlineStr">
        <is>
          <t>Gates (NB/REN/RWR)</t>
        </is>
      </c>
      <c r="M72" s="6" t="inlineStr">
        <is>
          <t>vs Current</t>
        </is>
      </c>
      <c r="N72" s="6" t="inlineStr">
        <is>
          <t>Current Bonus</t>
        </is>
      </c>
    </row>
    <row r="73">
      <c r="A73" s="12" t="inlineStr">
        <is>
          <t>January</t>
        </is>
      </c>
      <c r="B73" s="11" t="n">
        <v>70</v>
      </c>
      <c r="C73" s="11" t="n">
        <v>0</v>
      </c>
      <c r="D73" s="11" t="n">
        <v>70</v>
      </c>
      <c r="E73" s="11" t="n">
        <v>112</v>
      </c>
      <c r="F73" s="11" t="n">
        <v>0</v>
      </c>
      <c r="G73" s="11" t="n">
        <v>112</v>
      </c>
      <c r="H73" s="11" t="n">
        <v>8</v>
      </c>
      <c r="I73" s="11" t="n">
        <v>225</v>
      </c>
      <c r="J73" s="11" t="n">
        <v>415</v>
      </c>
      <c r="K73" s="20" t="n">
        <v>337</v>
      </c>
      <c r="L73" s="37" t="inlineStr">
        <is>
          <t>n/Y/n</t>
        </is>
      </c>
      <c r="M73" s="11" t="n">
        <v>337</v>
      </c>
      <c r="N73" s="11" t="n">
        <v>0</v>
      </c>
    </row>
    <row r="74">
      <c r="A74" s="12" t="inlineStr">
        <is>
          <t>February</t>
        </is>
      </c>
      <c r="B74" s="11" t="n">
        <v>98</v>
      </c>
      <c r="C74" s="11" t="n">
        <v>0</v>
      </c>
      <c r="D74" s="11" t="n">
        <v>98</v>
      </c>
      <c r="E74" s="11" t="n">
        <v>96</v>
      </c>
      <c r="F74" s="11" t="n">
        <v>0</v>
      </c>
      <c r="G74" s="11" t="n">
        <v>96</v>
      </c>
      <c r="H74" s="11" t="n">
        <v>19.94</v>
      </c>
      <c r="I74" s="11" t="n">
        <v>225</v>
      </c>
      <c r="J74" s="11" t="n">
        <v>438.94</v>
      </c>
      <c r="K74" s="20" t="n">
        <v>321</v>
      </c>
      <c r="L74" s="37" t="inlineStr">
        <is>
          <t>n/Y/n</t>
        </is>
      </c>
      <c r="M74" s="11" t="n">
        <v>321</v>
      </c>
      <c r="N74" s="11" t="n">
        <v>0</v>
      </c>
    </row>
    <row r="75">
      <c r="A75" s="12" t="inlineStr">
        <is>
          <t>March</t>
        </is>
      </c>
      <c r="B75" s="11" t="n">
        <v>95</v>
      </c>
      <c r="C75" s="11" t="n">
        <v>7.159655555555553</v>
      </c>
      <c r="D75" s="11" t="n">
        <v>102.1596555555556</v>
      </c>
      <c r="E75" s="11" t="n">
        <v>76</v>
      </c>
      <c r="F75" s="11" t="n">
        <v>0</v>
      </c>
      <c r="G75" s="11" t="n">
        <v>76</v>
      </c>
      <c r="H75" s="11" t="n">
        <v>14.271</v>
      </c>
      <c r="I75" s="11" t="n">
        <v>225</v>
      </c>
      <c r="J75" s="11" t="n">
        <v>417.4306555555556</v>
      </c>
      <c r="K75" s="20" t="n">
        <v>301</v>
      </c>
      <c r="L75" s="37" t="inlineStr">
        <is>
          <t>n/Y/n</t>
        </is>
      </c>
      <c r="M75" s="11" t="n">
        <v>301</v>
      </c>
      <c r="N75" s="11" t="n">
        <v>0</v>
      </c>
    </row>
    <row r="76">
      <c r="A76" s="12" t="inlineStr">
        <is>
          <t>April</t>
        </is>
      </c>
      <c r="B76" s="11" t="n">
        <v>63</v>
      </c>
      <c r="C76" s="11" t="n">
        <v>9.665555555555557</v>
      </c>
      <c r="D76" s="11" t="n">
        <v>72.66555555555556</v>
      </c>
      <c r="E76" s="11" t="n">
        <v>174</v>
      </c>
      <c r="F76" s="11" t="n">
        <v>0</v>
      </c>
      <c r="G76" s="11" t="n">
        <v>174</v>
      </c>
      <c r="H76" s="11" t="n">
        <v>12.02833333333333</v>
      </c>
      <c r="I76" s="11" t="n">
        <v>225</v>
      </c>
      <c r="J76" s="11" t="n">
        <v>483.6938888888889</v>
      </c>
      <c r="K76" s="20" t="n">
        <v>399</v>
      </c>
      <c r="L76" s="37" t="inlineStr">
        <is>
          <t>n/Y/n</t>
        </is>
      </c>
      <c r="M76" s="11" t="n">
        <v>399</v>
      </c>
      <c r="N76" s="11" t="n">
        <v>0</v>
      </c>
    </row>
    <row r="77">
      <c r="A77" s="22" t="inlineStr">
        <is>
          <t>4-Month Total</t>
        </is>
      </c>
      <c r="B77" s="38" t="n"/>
      <c r="C77" s="38" t="n"/>
      <c r="D77" s="38" t="n"/>
      <c r="E77" s="38" t="n"/>
      <c r="F77" s="38" t="n"/>
      <c r="G77" s="38" t="n"/>
      <c r="H77" s="38" t="n"/>
      <c r="I77" s="38" t="n"/>
      <c r="J77" s="38" t="n"/>
      <c r="K77" s="23" t="n">
        <v>1358</v>
      </c>
      <c r="L77" s="38" t="n"/>
      <c r="M77" s="23" t="n">
        <v>1358</v>
      </c>
      <c r="N77" s="23" t="n">
        <v>0</v>
      </c>
    </row>
    <row r="79">
      <c r="A79" s="5" t="inlineStr">
        <is>
          <t>Monica Valdes</t>
        </is>
      </c>
    </row>
    <row r="80">
      <c r="A80" s="6" t="inlineStr">
        <is>
          <t>Month</t>
        </is>
      </c>
      <c r="B80" s="6" t="inlineStr">
        <is>
          <t>NB Count</t>
        </is>
      </c>
      <c r="C80" s="6" t="inlineStr">
        <is>
          <t>NB Premium</t>
        </is>
      </c>
      <c r="D80" s="6" t="inlineStr">
        <is>
          <t>NB Collected</t>
        </is>
      </c>
      <c r="E80" s="6" t="inlineStr">
        <is>
          <t>NB Coll %</t>
        </is>
      </c>
      <c r="F80" s="6" t="inlineStr">
        <is>
          <t>RWR Count</t>
        </is>
      </c>
      <c r="G80" s="6" t="inlineStr">
        <is>
          <t>RWR Premium</t>
        </is>
      </c>
      <c r="H80" s="6" t="inlineStr">
        <is>
          <t>RWR Collected</t>
        </is>
      </c>
      <c r="I80" s="6" t="inlineStr">
        <is>
          <t>RWR Coll %</t>
        </is>
      </c>
      <c r="J80" s="6" t="inlineStr">
        <is>
          <t>REN Count</t>
        </is>
      </c>
      <c r="K80" s="6" t="inlineStr">
        <is>
          <t>REN Premium</t>
        </is>
      </c>
      <c r="L80" s="6" t="inlineStr">
        <is>
          <t>REN Collected</t>
        </is>
      </c>
      <c r="M80" s="6" t="inlineStr">
        <is>
          <t>REN Coll %</t>
        </is>
      </c>
    </row>
    <row r="81">
      <c r="A81" s="17" t="inlineStr">
        <is>
          <t>January</t>
        </is>
      </c>
      <c r="B81" s="18" t="n">
        <v>23</v>
      </c>
      <c r="C81" s="19" t="n">
        <v>28605.29</v>
      </c>
      <c r="D81" s="19" t="n">
        <v>6551.7</v>
      </c>
      <c r="E81" s="35" t="n">
        <v>0.2290380555484667</v>
      </c>
      <c r="F81" s="18" t="n">
        <v>6</v>
      </c>
      <c r="G81" s="19" t="n">
        <v>6502.91</v>
      </c>
      <c r="H81" s="19" t="n">
        <v>1439.3</v>
      </c>
      <c r="I81" s="35" t="n">
        <v>0.2213316807398534</v>
      </c>
      <c r="J81" s="18" t="n">
        <v>37</v>
      </c>
      <c r="K81" s="19" t="n">
        <v>48612.96</v>
      </c>
      <c r="L81" s="19" t="n">
        <v>8203.879999999999</v>
      </c>
      <c r="M81" s="35" t="n">
        <v>0.1687591127962584</v>
      </c>
    </row>
    <row r="82">
      <c r="A82" s="17" t="inlineStr">
        <is>
          <t>February</t>
        </is>
      </c>
      <c r="B82" s="18" t="n">
        <v>21</v>
      </c>
      <c r="C82" s="19" t="n">
        <v>31516.95</v>
      </c>
      <c r="D82" s="19" t="n">
        <v>6512.87</v>
      </c>
      <c r="E82" s="35" t="n">
        <v>0.206646582235908</v>
      </c>
      <c r="F82" s="18" t="n">
        <v>2</v>
      </c>
      <c r="G82" s="19" t="n">
        <v>3092</v>
      </c>
      <c r="H82" s="19" t="n">
        <v>272.87</v>
      </c>
      <c r="I82" s="35" t="n">
        <v>0.0882503234152652</v>
      </c>
      <c r="J82" s="18" t="n">
        <v>29</v>
      </c>
      <c r="K82" s="19" t="n">
        <v>47228.18</v>
      </c>
      <c r="L82" s="19" t="n">
        <v>7155.23</v>
      </c>
      <c r="M82" s="35" t="n">
        <v>0.1515034032647457</v>
      </c>
    </row>
    <row r="83">
      <c r="A83" s="17" t="inlineStr">
        <is>
          <t>March</t>
        </is>
      </c>
      <c r="B83" s="18" t="n">
        <v>36</v>
      </c>
      <c r="C83" s="19" t="n">
        <v>68546.22</v>
      </c>
      <c r="D83" s="19" t="n">
        <v>17019.79</v>
      </c>
      <c r="E83" s="35" t="n">
        <v>0.2482965508528406</v>
      </c>
      <c r="F83" s="18" t="n">
        <v>0</v>
      </c>
      <c r="G83" s="19" t="n">
        <v>0</v>
      </c>
      <c r="H83" s="19" t="n">
        <v>0</v>
      </c>
      <c r="I83" s="35" t="n">
        <v>0</v>
      </c>
      <c r="J83" s="18" t="n">
        <v>28</v>
      </c>
      <c r="K83" s="19" t="n">
        <v>39254.65</v>
      </c>
      <c r="L83" s="19" t="n">
        <v>5300.53</v>
      </c>
      <c r="M83" s="35" t="n">
        <v>0.135029353210384</v>
      </c>
    </row>
    <row r="84">
      <c r="A84" s="17" t="inlineStr">
        <is>
          <t>April</t>
        </is>
      </c>
      <c r="B84" s="18" t="n">
        <v>22</v>
      </c>
      <c r="C84" s="19" t="n">
        <v>29755.49</v>
      </c>
      <c r="D84" s="19" t="n">
        <v>6197.26</v>
      </c>
      <c r="E84" s="35" t="n">
        <v>0.2082728262918876</v>
      </c>
      <c r="F84" s="18" t="n">
        <v>2</v>
      </c>
      <c r="G84" s="19" t="n">
        <v>2514</v>
      </c>
      <c r="H84" s="19" t="n">
        <v>291.12</v>
      </c>
      <c r="I84" s="35" t="n">
        <v>0.115799522673031</v>
      </c>
      <c r="J84" s="18" t="n">
        <v>22</v>
      </c>
      <c r="K84" s="19" t="n">
        <v>35279.9</v>
      </c>
      <c r="L84" s="19" t="n">
        <v>7305.79</v>
      </c>
      <c r="M84" s="35" t="n">
        <v>0.2070808023832267</v>
      </c>
    </row>
    <row r="86">
      <c r="A86" s="36" t="inlineStr">
        <is>
          <t>THE PLAN - bonus calculation</t>
        </is>
      </c>
    </row>
    <row r="87">
      <c r="A87" s="6" t="inlineStr">
        <is>
          <t>Month</t>
        </is>
      </c>
      <c r="B87" s="6" t="inlineStr">
        <is>
          <t>NB base</t>
        </is>
      </c>
      <c r="C87" s="6" t="inlineStr">
        <is>
          <t>NB col inc</t>
        </is>
      </c>
      <c r="D87" s="6" t="inlineStr">
        <is>
          <t>NB target</t>
        </is>
      </c>
      <c r="E87" s="6" t="inlineStr">
        <is>
          <t>REN base</t>
        </is>
      </c>
      <c r="F87" s="6" t="inlineStr">
        <is>
          <t>REN col inc</t>
        </is>
      </c>
      <c r="G87" s="6" t="inlineStr">
        <is>
          <t>REN target</t>
        </is>
      </c>
      <c r="H87" s="6" t="inlineStr">
        <is>
          <t>RWR target</t>
        </is>
      </c>
      <c r="I87" s="6" t="inlineStr">
        <is>
          <t>Retention</t>
        </is>
      </c>
      <c r="J87" s="6" t="inlineStr">
        <is>
          <t>Total target</t>
        </is>
      </c>
      <c r="K87" s="6" t="inlineStr">
        <is>
          <t>PAID after MIN</t>
        </is>
      </c>
      <c r="L87" s="6" t="inlineStr">
        <is>
          <t>Gates (NB/REN/RWR)</t>
        </is>
      </c>
      <c r="M87" s="6" t="inlineStr">
        <is>
          <t>vs Current</t>
        </is>
      </c>
      <c r="N87" s="6" t="inlineStr">
        <is>
          <t>Current Bonus</t>
        </is>
      </c>
    </row>
    <row r="88">
      <c r="A88" s="12" t="inlineStr">
        <is>
          <t>January</t>
        </is>
      </c>
      <c r="B88" s="11" t="n">
        <v>161</v>
      </c>
      <c r="C88" s="11" t="n">
        <v>0</v>
      </c>
      <c r="D88" s="11" t="n">
        <v>161</v>
      </c>
      <c r="E88" s="11" t="n">
        <v>222</v>
      </c>
      <c r="F88" s="11" t="n">
        <v>0</v>
      </c>
      <c r="G88" s="11" t="n">
        <v>222</v>
      </c>
      <c r="H88" s="11" t="n">
        <v>12</v>
      </c>
      <c r="I88" s="11" t="n">
        <v>225</v>
      </c>
      <c r="J88" s="11" t="n">
        <v>620</v>
      </c>
      <c r="K88" s="20" t="n">
        <v>447</v>
      </c>
      <c r="L88" s="37" t="inlineStr">
        <is>
          <t>n/Y/n</t>
        </is>
      </c>
      <c r="M88" s="11" t="n">
        <v>447</v>
      </c>
      <c r="N88" s="11" t="n">
        <v>0</v>
      </c>
    </row>
    <row r="89">
      <c r="A89" s="12" t="inlineStr">
        <is>
          <t>February</t>
        </is>
      </c>
      <c r="B89" s="11" t="n">
        <v>147</v>
      </c>
      <c r="C89" s="11" t="n">
        <v>0</v>
      </c>
      <c r="D89" s="11" t="n">
        <v>147</v>
      </c>
      <c r="E89" s="11" t="n">
        <v>174</v>
      </c>
      <c r="F89" s="11" t="n">
        <v>0</v>
      </c>
      <c r="G89" s="11" t="n">
        <v>174</v>
      </c>
      <c r="H89" s="11" t="n">
        <v>6</v>
      </c>
      <c r="I89" s="11" t="n">
        <v>225</v>
      </c>
      <c r="J89" s="11" t="n">
        <v>552</v>
      </c>
      <c r="K89" s="20" t="n">
        <v>399</v>
      </c>
      <c r="L89" s="37" t="inlineStr">
        <is>
          <t>n/Y/n</t>
        </is>
      </c>
      <c r="M89" s="11" t="n">
        <v>399</v>
      </c>
      <c r="N89" s="11" t="n">
        <v>0</v>
      </c>
    </row>
    <row r="90">
      <c r="A90" s="12" t="inlineStr">
        <is>
          <t>March</t>
        </is>
      </c>
      <c r="B90" s="11" t="n">
        <v>360</v>
      </c>
      <c r="C90" s="11" t="n">
        <v>0</v>
      </c>
      <c r="D90" s="11" t="n">
        <v>360</v>
      </c>
      <c r="E90" s="11" t="n">
        <v>168</v>
      </c>
      <c r="F90" s="11" t="n">
        <v>0</v>
      </c>
      <c r="G90" s="11" t="n">
        <v>168</v>
      </c>
      <c r="H90" s="11" t="n">
        <v>0</v>
      </c>
      <c r="I90" s="11" t="n">
        <v>225</v>
      </c>
      <c r="J90" s="11" t="n">
        <v>753</v>
      </c>
      <c r="K90" s="20" t="n">
        <v>753</v>
      </c>
      <c r="L90" s="27" t="inlineStr">
        <is>
          <t>Y/Y/Y</t>
        </is>
      </c>
      <c r="M90" s="11" t="n">
        <v>403</v>
      </c>
      <c r="N90" s="11" t="n">
        <v>350</v>
      </c>
    </row>
    <row r="91">
      <c r="A91" s="12" t="inlineStr">
        <is>
          <t>April</t>
        </is>
      </c>
      <c r="B91" s="11" t="n">
        <v>154</v>
      </c>
      <c r="C91" s="11" t="n">
        <v>0</v>
      </c>
      <c r="D91" s="11" t="n">
        <v>154</v>
      </c>
      <c r="E91" s="11" t="n">
        <v>132</v>
      </c>
      <c r="F91" s="11" t="n">
        <v>0</v>
      </c>
      <c r="G91" s="11" t="n">
        <v>132</v>
      </c>
      <c r="H91" s="11" t="n">
        <v>6</v>
      </c>
      <c r="I91" s="11" t="n">
        <v>225</v>
      </c>
      <c r="J91" s="11" t="n">
        <v>517</v>
      </c>
      <c r="K91" s="20" t="n">
        <v>357</v>
      </c>
      <c r="L91" s="37" t="inlineStr">
        <is>
          <t>n/Y/n</t>
        </is>
      </c>
      <c r="M91" s="11" t="n">
        <v>357</v>
      </c>
      <c r="N91" s="11" t="n">
        <v>0</v>
      </c>
    </row>
    <row r="92">
      <c r="A92" s="22" t="inlineStr">
        <is>
          <t>4-Month Total</t>
        </is>
      </c>
      <c r="B92" s="38" t="n"/>
      <c r="C92" s="38" t="n"/>
      <c r="D92" s="38" t="n"/>
      <c r="E92" s="38" t="n"/>
      <c r="F92" s="38" t="n"/>
      <c r="G92" s="38" t="n"/>
      <c r="H92" s="38" t="n"/>
      <c r="I92" s="38" t="n"/>
      <c r="J92" s="38" t="n"/>
      <c r="K92" s="23" t="n">
        <v>1956</v>
      </c>
      <c r="L92" s="38" t="n"/>
      <c r="M92" s="23" t="n">
        <v>1606</v>
      </c>
      <c r="N92" s="23" t="n">
        <v>350</v>
      </c>
    </row>
  </sheetData>
  <mergeCells count="14">
    <mergeCell ref="A26:R26"/>
    <mergeCell ref="A86:R86"/>
    <mergeCell ref="A64:R64"/>
    <mergeCell ref="A41:R41"/>
    <mergeCell ref="A2:R2"/>
    <mergeCell ref="A11:R11"/>
    <mergeCell ref="A19:R19"/>
    <mergeCell ref="A49:R49"/>
    <mergeCell ref="A71:R71"/>
    <mergeCell ref="A1:R1"/>
    <mergeCell ref="A79:R79"/>
    <mergeCell ref="A34:R34"/>
    <mergeCell ref="A56:R56"/>
    <mergeCell ref="A4:R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22" customWidth="1" min="1" max="1"/>
    <col width="12" customWidth="1" min="2" max="2"/>
    <col width="10" customWidth="1" min="3" max="3"/>
    <col width="12" customWidth="1" min="4" max="4"/>
    <col width="12" customWidth="1" min="5" max="5"/>
    <col width="10" customWidth="1" min="6" max="6"/>
    <col width="10" customWidth="1" min="7" max="7"/>
    <col width="12" customWidth="1" min="8" max="8"/>
    <col width="12" customWidth="1" min="9" max="9"/>
    <col width="10" customWidth="1" min="10" max="10"/>
    <col width="10" customWidth="1" min="11" max="11"/>
    <col width="12" customWidth="1" min="12" max="12"/>
    <col width="12" customWidth="1" min="13" max="13"/>
    <col width="10" customWidth="1" min="14" max="14"/>
  </cols>
  <sheetData>
    <row r="1">
      <c r="A1" s="1" t="inlineStr">
        <is>
          <t>Source Data - 6 Agents, January-April 2026</t>
        </is>
      </c>
    </row>
    <row r="2">
      <c r="A2" s="4" t="inlineStr">
        <is>
          <t>This is the raw NB / RWR / REN production data behind every calculation in the workbook. From agents_nbrwr_pivots_good_.xlsx.</t>
        </is>
      </c>
    </row>
    <row r="4">
      <c r="A4" s="6" t="inlineStr">
        <is>
          <t>Agent</t>
        </is>
      </c>
      <c r="B4" s="6" t="inlineStr">
        <is>
          <t>Month</t>
        </is>
      </c>
      <c r="C4" s="6" t="inlineStr">
        <is>
          <t>NB Count</t>
        </is>
      </c>
      <c r="D4" s="6" t="inlineStr">
        <is>
          <t>NB Written</t>
        </is>
      </c>
      <c r="E4" s="6" t="inlineStr">
        <is>
          <t>NB Collected</t>
        </is>
      </c>
      <c r="F4" s="6" t="inlineStr">
        <is>
          <t>NB Coll %</t>
        </is>
      </c>
      <c r="G4" s="6" t="inlineStr">
        <is>
          <t>RWR Count</t>
        </is>
      </c>
      <c r="H4" s="6" t="inlineStr">
        <is>
          <t>RWR Written</t>
        </is>
      </c>
      <c r="I4" s="6" t="inlineStr">
        <is>
          <t>RWR Collected</t>
        </is>
      </c>
      <c r="J4" s="6" t="inlineStr">
        <is>
          <t>RWR Coll %</t>
        </is>
      </c>
      <c r="K4" s="6" t="inlineStr">
        <is>
          <t>REN Count</t>
        </is>
      </c>
      <c r="L4" s="6" t="inlineStr">
        <is>
          <t>REN Written</t>
        </is>
      </c>
      <c r="M4" s="6" t="inlineStr">
        <is>
          <t>REN Collected</t>
        </is>
      </c>
      <c r="N4" s="6" t="inlineStr">
        <is>
          <t>REN Coll %</t>
        </is>
      </c>
    </row>
    <row r="5">
      <c r="A5" s="17" t="inlineStr">
        <is>
          <t>Abel Guaina</t>
        </is>
      </c>
      <c r="B5" s="17" t="inlineStr">
        <is>
          <t>January</t>
        </is>
      </c>
      <c r="C5" s="18" t="n">
        <v>25</v>
      </c>
      <c r="D5" s="19" t="n">
        <v>38611.42</v>
      </c>
      <c r="E5" s="19" t="n">
        <v>4938.26</v>
      </c>
      <c r="F5" s="35" t="n">
        <v>0.1278963581240991</v>
      </c>
      <c r="G5" s="18" t="n">
        <v>17</v>
      </c>
      <c r="H5" s="19" t="n">
        <v>27518.5</v>
      </c>
      <c r="I5" s="19" t="n">
        <v>6186.16</v>
      </c>
      <c r="J5" s="35" t="n">
        <v>0.224800043607028</v>
      </c>
      <c r="K5" s="18" t="n">
        <v>9</v>
      </c>
      <c r="L5" s="19" t="n">
        <v>7605</v>
      </c>
      <c r="M5" s="19" t="n">
        <v>1734.23</v>
      </c>
      <c r="N5" s="35" t="n">
        <v>0.2280381328073636</v>
      </c>
    </row>
    <row r="6">
      <c r="A6" s="17" t="inlineStr">
        <is>
          <t>Abel Guaina</t>
        </is>
      </c>
      <c r="B6" s="17" t="inlineStr">
        <is>
          <t>February</t>
        </is>
      </c>
      <c r="C6" s="18" t="n">
        <v>13</v>
      </c>
      <c r="D6" s="19" t="n">
        <v>25367</v>
      </c>
      <c r="E6" s="19" t="n">
        <v>3258.77</v>
      </c>
      <c r="F6" s="35" t="n">
        <v>0.1284649347577561</v>
      </c>
      <c r="G6" s="18" t="n">
        <v>19</v>
      </c>
      <c r="H6" s="19" t="n">
        <v>30643</v>
      </c>
      <c r="I6" s="19" t="n">
        <v>4268.29</v>
      </c>
      <c r="J6" s="35" t="n">
        <v>0.1392908657768495</v>
      </c>
      <c r="K6" s="18" t="n">
        <v>7</v>
      </c>
      <c r="L6" s="19" t="n">
        <v>7517</v>
      </c>
      <c r="M6" s="19" t="n">
        <v>1422.16</v>
      </c>
      <c r="N6" s="35" t="n">
        <v>0.1891924970067846</v>
      </c>
    </row>
    <row r="7">
      <c r="A7" s="17" t="inlineStr">
        <is>
          <t>Abel Guaina</t>
        </is>
      </c>
      <c r="B7" s="17" t="inlineStr">
        <is>
          <t>March</t>
        </is>
      </c>
      <c r="C7" s="18" t="n">
        <v>30</v>
      </c>
      <c r="D7" s="19" t="n">
        <v>46523.37</v>
      </c>
      <c r="E7" s="19" t="n">
        <v>6523.33</v>
      </c>
      <c r="F7" s="35" t="n">
        <v>0.140216196720057</v>
      </c>
      <c r="G7" s="18" t="n">
        <v>17</v>
      </c>
      <c r="H7" s="19" t="n">
        <v>25227.6</v>
      </c>
      <c r="I7" s="19" t="n">
        <v>5844.85</v>
      </c>
      <c r="J7" s="35" t="n">
        <v>0.2316847421078502</v>
      </c>
      <c r="K7" s="18" t="n">
        <v>5</v>
      </c>
      <c r="L7" s="19" t="n">
        <v>3901</v>
      </c>
      <c r="M7" s="19" t="n">
        <v>1274.08</v>
      </c>
      <c r="N7" s="35" t="n">
        <v>0.3266034350166624</v>
      </c>
    </row>
    <row r="8">
      <c r="A8" s="17" t="inlineStr">
        <is>
          <t>Abel Guaina</t>
        </is>
      </c>
      <c r="B8" s="17" t="inlineStr">
        <is>
          <t>April</t>
        </is>
      </c>
      <c r="C8" s="18" t="n">
        <v>27</v>
      </c>
      <c r="D8" s="19" t="n">
        <v>37825.93</v>
      </c>
      <c r="E8" s="19" t="n">
        <v>8163.72</v>
      </c>
      <c r="F8" s="35" t="n">
        <v>0.2158233783016042</v>
      </c>
      <c r="G8" s="18" t="n">
        <v>15</v>
      </c>
      <c r="H8" s="19" t="n">
        <v>15361.95</v>
      </c>
      <c r="I8" s="19" t="n">
        <v>3967.81</v>
      </c>
      <c r="J8" s="35" t="n">
        <v>0.2582881730509473</v>
      </c>
      <c r="K8" s="18" t="n">
        <v>13</v>
      </c>
      <c r="L8" s="19" t="n">
        <v>10935.99</v>
      </c>
      <c r="M8" s="19" t="n">
        <v>5439.19</v>
      </c>
      <c r="N8" s="35" t="n">
        <v>0.4973660363625058</v>
      </c>
    </row>
    <row r="9">
      <c r="A9" s="28" t="inlineStr"/>
      <c r="B9" s="28" t="inlineStr">
        <is>
          <t>4-mo TOTAL</t>
        </is>
      </c>
      <c r="C9" s="41" t="n">
        <v>95</v>
      </c>
      <c r="D9" s="23" t="n">
        <v>148327.72</v>
      </c>
      <c r="E9" s="23" t="n">
        <v>22884.08</v>
      </c>
      <c r="F9" s="42" t="n">
        <v>0.1542805350206961</v>
      </c>
      <c r="G9" s="41" t="n">
        <v>68</v>
      </c>
      <c r="H9" s="23" t="n">
        <v>98751.05</v>
      </c>
      <c r="I9" s="23" t="n">
        <v>20267.11</v>
      </c>
      <c r="J9" s="42" t="n">
        <v>0.2052343747231042</v>
      </c>
      <c r="K9" s="41" t="n">
        <v>34</v>
      </c>
      <c r="L9" s="23" t="n">
        <v>29958.99</v>
      </c>
      <c r="M9" s="23" t="n">
        <v>9869.66</v>
      </c>
      <c r="N9" s="42" t="n">
        <v>0.3294390097930538</v>
      </c>
    </row>
    <row r="11">
      <c r="A11" s="17" t="inlineStr">
        <is>
          <t>Dialinerys Dieguez</t>
        </is>
      </c>
      <c r="B11" s="17" t="inlineStr">
        <is>
          <t>January</t>
        </is>
      </c>
      <c r="C11" s="18" t="n">
        <v>23</v>
      </c>
      <c r="D11" s="19" t="n">
        <v>40249.26</v>
      </c>
      <c r="E11" s="19" t="n">
        <v>4925</v>
      </c>
      <c r="F11" s="35" t="n">
        <v>0.1223624980931326</v>
      </c>
      <c r="G11" s="18" t="n">
        <v>48</v>
      </c>
      <c r="H11" s="19" t="n">
        <v>65675.38</v>
      </c>
      <c r="I11" s="19" t="n">
        <v>10936.32</v>
      </c>
      <c r="J11" s="35" t="n">
        <v>0.1665208484518856</v>
      </c>
      <c r="K11" s="18" t="n">
        <v>11</v>
      </c>
      <c r="L11" s="19" t="n">
        <v>12530.47</v>
      </c>
      <c r="M11" s="19" t="n">
        <v>4951.59</v>
      </c>
      <c r="N11" s="35" t="n">
        <v>0.395163948359479</v>
      </c>
    </row>
    <row r="12">
      <c r="A12" s="17" t="inlineStr">
        <is>
          <t>Dialinerys Dieguez</t>
        </is>
      </c>
      <c r="B12" s="17" t="inlineStr">
        <is>
          <t>February</t>
        </is>
      </c>
      <c r="C12" s="18" t="n">
        <v>23</v>
      </c>
      <c r="D12" s="19" t="n">
        <v>30057.89</v>
      </c>
      <c r="E12" s="19" t="n">
        <v>5766.72</v>
      </c>
      <c r="F12" s="35" t="n">
        <v>0.1918537861440041</v>
      </c>
      <c r="G12" s="18" t="n">
        <v>56</v>
      </c>
      <c r="H12" s="19" t="n">
        <v>85544.60000000001</v>
      </c>
      <c r="I12" s="19" t="n">
        <v>13931.43</v>
      </c>
      <c r="J12" s="35" t="n">
        <v>0.1628557500999478</v>
      </c>
      <c r="K12" s="18" t="n">
        <v>9</v>
      </c>
      <c r="L12" s="19" t="n">
        <v>11629.68</v>
      </c>
      <c r="M12" s="19" t="n">
        <v>1937.6</v>
      </c>
      <c r="N12" s="35" t="n">
        <v>0.1666081955823376</v>
      </c>
    </row>
    <row r="13">
      <c r="A13" s="17" t="inlineStr">
        <is>
          <t>Dialinerys Dieguez</t>
        </is>
      </c>
      <c r="B13" s="17" t="inlineStr">
        <is>
          <t>March</t>
        </is>
      </c>
      <c r="C13" s="18" t="n">
        <v>38</v>
      </c>
      <c r="D13" s="19" t="n">
        <v>52434.9</v>
      </c>
      <c r="E13" s="19" t="n">
        <v>10546.59</v>
      </c>
      <c r="F13" s="35" t="n">
        <v>0.2011368382508596</v>
      </c>
      <c r="G13" s="18" t="n">
        <v>69</v>
      </c>
      <c r="H13" s="19" t="n">
        <v>96228.35000000001</v>
      </c>
      <c r="I13" s="19" t="n">
        <v>19700.38</v>
      </c>
      <c r="J13" s="35" t="n">
        <v>0.2047253226310126</v>
      </c>
      <c r="K13" s="18" t="n">
        <v>7</v>
      </c>
      <c r="L13" s="19" t="n">
        <v>5962.5</v>
      </c>
      <c r="M13" s="19" t="n">
        <v>3080</v>
      </c>
      <c r="N13" s="35" t="n">
        <v>0.5165618448637317</v>
      </c>
    </row>
    <row r="14">
      <c r="A14" s="17" t="inlineStr">
        <is>
          <t>Dialinerys Dieguez</t>
        </is>
      </c>
      <c r="B14" s="17" t="inlineStr">
        <is>
          <t>April</t>
        </is>
      </c>
      <c r="C14" s="18" t="n">
        <v>33</v>
      </c>
      <c r="D14" s="19" t="n">
        <v>49689.35</v>
      </c>
      <c r="E14" s="19" t="n">
        <v>8831.440000000001</v>
      </c>
      <c r="F14" s="35" t="n">
        <v>0.1777330554736579</v>
      </c>
      <c r="G14" s="18" t="n">
        <v>44</v>
      </c>
      <c r="H14" s="19" t="n">
        <v>64165.43</v>
      </c>
      <c r="I14" s="19" t="n">
        <v>16668.05</v>
      </c>
      <c r="J14" s="35" t="n">
        <v>0.2597668245969831</v>
      </c>
      <c r="K14" s="18" t="n">
        <v>2</v>
      </c>
      <c r="L14" s="19" t="n">
        <v>19575</v>
      </c>
      <c r="M14" s="19" t="n">
        <v>2939.65</v>
      </c>
      <c r="N14" s="35" t="n">
        <v>0.1501736909323116</v>
      </c>
    </row>
    <row r="15">
      <c r="A15" s="28" t="inlineStr"/>
      <c r="B15" s="28" t="inlineStr">
        <is>
          <t>4-mo TOTAL</t>
        </is>
      </c>
      <c r="C15" s="41" t="n">
        <v>117</v>
      </c>
      <c r="D15" s="23" t="n">
        <v>172431.4</v>
      </c>
      <c r="E15" s="23" t="n">
        <v>30069.75</v>
      </c>
      <c r="F15" s="42" t="n">
        <v>0.1743867416259452</v>
      </c>
      <c r="G15" s="41" t="n">
        <v>217</v>
      </c>
      <c r="H15" s="23" t="n">
        <v>311613.76</v>
      </c>
      <c r="I15" s="23" t="n">
        <v>61236.18000000001</v>
      </c>
      <c r="J15" s="42" t="n">
        <v>0.1965130808087551</v>
      </c>
      <c r="K15" s="41" t="n">
        <v>29</v>
      </c>
      <c r="L15" s="23" t="n">
        <v>49697.65</v>
      </c>
      <c r="M15" s="23" t="n">
        <v>12908.84</v>
      </c>
      <c r="N15" s="42" t="n">
        <v>0.2597474930907196</v>
      </c>
    </row>
    <row r="17">
      <c r="A17" s="17" t="inlineStr">
        <is>
          <t>Melissa Hernandez</t>
        </is>
      </c>
      <c r="B17" s="17" t="inlineStr">
        <is>
          <t>January</t>
        </is>
      </c>
      <c r="C17" s="18" t="n">
        <v>31</v>
      </c>
      <c r="D17" s="19" t="n">
        <v>37039</v>
      </c>
      <c r="E17" s="19" t="n">
        <v>7651.14</v>
      </c>
      <c r="F17" s="35" t="n">
        <v>0.2065698317989147</v>
      </c>
      <c r="G17" s="18" t="n">
        <v>48</v>
      </c>
      <c r="H17" s="19" t="n">
        <v>63374.5</v>
      </c>
      <c r="I17" s="19" t="n">
        <v>11897.57</v>
      </c>
      <c r="J17" s="35" t="n">
        <v>0.1877343410993381</v>
      </c>
      <c r="K17" s="18" t="n">
        <v>0</v>
      </c>
      <c r="L17" s="19" t="n">
        <v>0</v>
      </c>
      <c r="M17" s="19" t="n">
        <v>0</v>
      </c>
      <c r="N17" s="35" t="n">
        <v>0</v>
      </c>
    </row>
    <row r="18">
      <c r="A18" s="17" t="inlineStr">
        <is>
          <t>Melissa Hernandez</t>
        </is>
      </c>
      <c r="B18" s="17" t="inlineStr">
        <is>
          <t>February</t>
        </is>
      </c>
      <c r="C18" s="18" t="n">
        <v>13</v>
      </c>
      <c r="D18" s="19" t="n">
        <v>7659.5</v>
      </c>
      <c r="E18" s="19" t="n">
        <v>2095.02</v>
      </c>
      <c r="F18" s="35" t="n">
        <v>0.2735191592140479</v>
      </c>
      <c r="G18" s="18" t="n">
        <v>37</v>
      </c>
      <c r="H18" s="19" t="n">
        <v>49990.7</v>
      </c>
      <c r="I18" s="19" t="n">
        <v>6802.73</v>
      </c>
      <c r="J18" s="35" t="n">
        <v>0.1360799108634206</v>
      </c>
      <c r="K18" s="18" t="n">
        <v>1</v>
      </c>
      <c r="L18" s="19" t="n">
        <v>1063</v>
      </c>
      <c r="M18" s="19" t="n">
        <v>91.75</v>
      </c>
      <c r="N18" s="35" t="n">
        <v>0.08631232361241768</v>
      </c>
    </row>
    <row r="19">
      <c r="A19" s="17" t="inlineStr">
        <is>
          <t>Melissa Hernandez</t>
        </is>
      </c>
      <c r="B19" s="17" t="inlineStr">
        <is>
          <t>March</t>
        </is>
      </c>
      <c r="C19" s="18" t="n">
        <v>28</v>
      </c>
      <c r="D19" s="19" t="n">
        <v>39759.7</v>
      </c>
      <c r="E19" s="19" t="n">
        <v>5669.41</v>
      </c>
      <c r="F19" s="35" t="n">
        <v>0.142591870663008</v>
      </c>
      <c r="G19" s="18" t="n">
        <v>48</v>
      </c>
      <c r="H19" s="19" t="n">
        <v>56860.6</v>
      </c>
      <c r="I19" s="19" t="n">
        <v>8620.469999999999</v>
      </c>
      <c r="J19" s="35" t="n">
        <v>0.1516070882122243</v>
      </c>
      <c r="K19" s="18" t="n">
        <v>1</v>
      </c>
      <c r="L19" s="19" t="n">
        <v>1034</v>
      </c>
      <c r="M19" s="19" t="n">
        <v>180.45</v>
      </c>
      <c r="N19" s="35" t="n">
        <v>0.1745164410058027</v>
      </c>
    </row>
    <row r="20">
      <c r="A20" s="17" t="inlineStr">
        <is>
          <t>Melissa Hernandez</t>
        </is>
      </c>
      <c r="B20" s="17" t="inlineStr">
        <is>
          <t>April</t>
        </is>
      </c>
      <c r="C20" s="18" t="n">
        <v>15</v>
      </c>
      <c r="D20" s="19" t="n">
        <v>19288.35</v>
      </c>
      <c r="E20" s="19" t="n">
        <v>4344.3</v>
      </c>
      <c r="F20" s="35" t="n">
        <v>0.225229218673448</v>
      </c>
      <c r="G20" s="18" t="n">
        <v>37</v>
      </c>
      <c r="H20" s="19" t="n">
        <v>43396.2</v>
      </c>
      <c r="I20" s="19" t="n">
        <v>7660.7</v>
      </c>
      <c r="J20" s="35" t="n">
        <v>0.1765292813656495</v>
      </c>
      <c r="K20" s="18" t="n">
        <v>0</v>
      </c>
      <c r="L20" s="19" t="n">
        <v>0</v>
      </c>
      <c r="M20" s="19" t="n">
        <v>0</v>
      </c>
      <c r="N20" s="35" t="n">
        <v>0</v>
      </c>
    </row>
    <row r="21">
      <c r="A21" s="28" t="inlineStr"/>
      <c r="B21" s="28" t="inlineStr">
        <is>
          <t>4-mo TOTAL</t>
        </is>
      </c>
      <c r="C21" s="41" t="n">
        <v>87</v>
      </c>
      <c r="D21" s="23" t="n">
        <v>103746.55</v>
      </c>
      <c r="E21" s="23" t="n">
        <v>19759.87</v>
      </c>
      <c r="F21" s="42" t="n">
        <v>0.1904629117787531</v>
      </c>
      <c r="G21" s="41" t="n">
        <v>170</v>
      </c>
      <c r="H21" s="23" t="n">
        <v>213622</v>
      </c>
      <c r="I21" s="23" t="n">
        <v>34981.46999999999</v>
      </c>
      <c r="J21" s="42" t="n">
        <v>0.1637540609113293</v>
      </c>
      <c r="K21" s="41" t="n">
        <v>2</v>
      </c>
      <c r="L21" s="23" t="n">
        <v>2097</v>
      </c>
      <c r="M21" s="23" t="n">
        <v>272.2</v>
      </c>
      <c r="N21" s="42" t="n">
        <v>0.1298044825941821</v>
      </c>
    </row>
    <row r="23">
      <c r="A23" s="17" t="inlineStr">
        <is>
          <t>Flavia Parra</t>
        </is>
      </c>
      <c r="B23" s="17" t="inlineStr">
        <is>
          <t>January</t>
        </is>
      </c>
      <c r="C23" s="18" t="n">
        <v>19</v>
      </c>
      <c r="D23" s="19" t="n">
        <v>28525.05</v>
      </c>
      <c r="E23" s="19" t="n">
        <v>5657.4</v>
      </c>
      <c r="F23" s="35" t="n">
        <v>0.1983309406994904</v>
      </c>
      <c r="G23" s="18" t="n">
        <v>35</v>
      </c>
      <c r="H23" s="19" t="n">
        <v>39558.05</v>
      </c>
      <c r="I23" s="19" t="n">
        <v>8795.290000000001</v>
      </c>
      <c r="J23" s="35" t="n">
        <v>0.2223388159932049</v>
      </c>
      <c r="K23" s="18" t="n">
        <v>1</v>
      </c>
      <c r="L23" s="19" t="n">
        <v>1464.35</v>
      </c>
      <c r="M23" s="19" t="n">
        <v>302.12</v>
      </c>
      <c r="N23" s="35" t="n">
        <v>0.2063167958479872</v>
      </c>
    </row>
    <row r="24">
      <c r="A24" s="17" t="inlineStr">
        <is>
          <t>Flavia Parra</t>
        </is>
      </c>
      <c r="B24" s="17" t="inlineStr">
        <is>
          <t>February</t>
        </is>
      </c>
      <c r="C24" s="18" t="n">
        <v>23</v>
      </c>
      <c r="D24" s="19" t="n">
        <v>22247.7</v>
      </c>
      <c r="E24" s="19" t="n">
        <v>3832.59</v>
      </c>
      <c r="F24" s="35" t="n">
        <v>0.1722690435415796</v>
      </c>
      <c r="G24" s="18" t="n">
        <v>42</v>
      </c>
      <c r="H24" s="19" t="n">
        <v>43687.45</v>
      </c>
      <c r="I24" s="19" t="n">
        <v>13820.09</v>
      </c>
      <c r="J24" s="35" t="n">
        <v>0.3163400473133589</v>
      </c>
      <c r="K24" s="18" t="n">
        <v>2</v>
      </c>
      <c r="L24" s="19" t="n">
        <v>2099</v>
      </c>
      <c r="M24" s="19" t="n">
        <v>321.01</v>
      </c>
      <c r="N24" s="35" t="n">
        <v>0.152934730824202</v>
      </c>
    </row>
    <row r="25">
      <c r="A25" s="17" t="inlineStr">
        <is>
          <t>Flavia Parra</t>
        </is>
      </c>
      <c r="B25" s="17" t="inlineStr">
        <is>
          <t>March</t>
        </is>
      </c>
      <c r="C25" s="18" t="n">
        <v>27</v>
      </c>
      <c r="D25" s="19" t="n">
        <v>31269</v>
      </c>
      <c r="E25" s="19" t="n">
        <v>8642.02</v>
      </c>
      <c r="F25" s="35" t="n">
        <v>0.2763766030253606</v>
      </c>
      <c r="G25" s="18" t="n">
        <v>27</v>
      </c>
      <c r="H25" s="19" t="n">
        <v>23526.7</v>
      </c>
      <c r="I25" s="19" t="n">
        <v>9060.629999999999</v>
      </c>
      <c r="J25" s="35" t="n">
        <v>0.3851211602137146</v>
      </c>
      <c r="K25" s="18" t="n">
        <v>0</v>
      </c>
      <c r="L25" s="19" t="n">
        <v>0</v>
      </c>
      <c r="M25" s="19" t="n">
        <v>0</v>
      </c>
      <c r="N25" s="35" t="n">
        <v>0</v>
      </c>
    </row>
    <row r="26">
      <c r="A26" s="17" t="inlineStr">
        <is>
          <t>Flavia Parra</t>
        </is>
      </c>
      <c r="B26" s="17" t="inlineStr">
        <is>
          <t>April</t>
        </is>
      </c>
      <c r="C26" s="18" t="n">
        <v>23</v>
      </c>
      <c r="D26" s="19" t="n">
        <v>29581.05</v>
      </c>
      <c r="E26" s="19" t="n">
        <v>6600.51</v>
      </c>
      <c r="F26" s="35" t="n">
        <v>0.2231330530863509</v>
      </c>
      <c r="G26" s="18" t="n">
        <v>31</v>
      </c>
      <c r="H26" s="19" t="n">
        <v>30832.76</v>
      </c>
      <c r="I26" s="19" t="n">
        <v>7710.62</v>
      </c>
      <c r="J26" s="35" t="n">
        <v>0.2500788122762931</v>
      </c>
      <c r="K26" s="18" t="n">
        <v>1</v>
      </c>
      <c r="L26" s="19" t="n">
        <v>885</v>
      </c>
      <c r="M26" s="19" t="n">
        <v>885</v>
      </c>
      <c r="N26" s="35" t="n">
        <v>1</v>
      </c>
    </row>
    <row r="27">
      <c r="A27" s="28" t="inlineStr"/>
      <c r="B27" s="28" t="inlineStr">
        <is>
          <t>4-mo TOTAL</t>
        </is>
      </c>
      <c r="C27" s="41" t="n">
        <v>92</v>
      </c>
      <c r="D27" s="23" t="n">
        <v>111622.8</v>
      </c>
      <c r="E27" s="23" t="n">
        <v>24732.52</v>
      </c>
      <c r="F27" s="42" t="n">
        <v>0.2215722952658418</v>
      </c>
      <c r="G27" s="41" t="n">
        <v>135</v>
      </c>
      <c r="H27" s="23" t="n">
        <v>137604.96</v>
      </c>
      <c r="I27" s="23" t="n">
        <v>39386.63</v>
      </c>
      <c r="J27" s="42" t="n">
        <v>0.2862297260215039</v>
      </c>
      <c r="K27" s="41" t="n">
        <v>4</v>
      </c>
      <c r="L27" s="23" t="n">
        <v>4448.35</v>
      </c>
      <c r="M27" s="23" t="n">
        <v>1508.13</v>
      </c>
      <c r="N27" s="42" t="n">
        <v>0.3390313262220823</v>
      </c>
    </row>
    <row r="29">
      <c r="A29" s="17" t="inlineStr">
        <is>
          <t>Thalia Rojas</t>
        </is>
      </c>
      <c r="B29" s="17" t="inlineStr">
        <is>
          <t>January</t>
        </is>
      </c>
      <c r="C29" s="18" t="n">
        <v>10</v>
      </c>
      <c r="D29" s="19" t="n">
        <v>15503.9</v>
      </c>
      <c r="E29" s="19" t="n">
        <v>2238.28</v>
      </c>
      <c r="F29" s="35" t="n">
        <v>0.1443688362283039</v>
      </c>
      <c r="G29" s="18" t="n">
        <v>28</v>
      </c>
      <c r="H29" s="19" t="n">
        <v>33083.93</v>
      </c>
      <c r="I29" s="19" t="n">
        <v>6461.48</v>
      </c>
      <c r="J29" s="35" t="n">
        <v>0.1953056967536807</v>
      </c>
      <c r="K29" s="18" t="n">
        <v>4</v>
      </c>
      <c r="L29" s="19" t="n">
        <v>3690</v>
      </c>
      <c r="M29" s="19" t="n">
        <v>642.04</v>
      </c>
      <c r="N29" s="35" t="n">
        <v>0.1739945799457994</v>
      </c>
    </row>
    <row r="30">
      <c r="A30" s="17" t="inlineStr">
        <is>
          <t>Thalia Rojas</t>
        </is>
      </c>
      <c r="B30" s="17" t="inlineStr">
        <is>
          <t>February</t>
        </is>
      </c>
      <c r="C30" s="18" t="n">
        <v>14</v>
      </c>
      <c r="D30" s="19" t="n">
        <v>19414.25</v>
      </c>
      <c r="E30" s="19" t="n">
        <v>3640.91</v>
      </c>
      <c r="F30" s="35" t="n">
        <v>0.1875380197535315</v>
      </c>
      <c r="G30" s="18" t="n">
        <v>24</v>
      </c>
      <c r="H30" s="19" t="n">
        <v>28298.16</v>
      </c>
      <c r="I30" s="19" t="n">
        <v>5276.12</v>
      </c>
      <c r="J30" s="35" t="n">
        <v>0.186447458067945</v>
      </c>
      <c r="K30" s="18" t="n">
        <v>5</v>
      </c>
      <c r="L30" s="19" t="n">
        <v>7446</v>
      </c>
      <c r="M30" s="19" t="n">
        <v>3293.14</v>
      </c>
      <c r="N30" s="35" t="n">
        <v>0.442269674993285</v>
      </c>
    </row>
    <row r="31">
      <c r="A31" s="17" t="inlineStr">
        <is>
          <t>Thalia Rojas</t>
        </is>
      </c>
      <c r="B31" s="17" t="inlineStr">
        <is>
          <t>March</t>
        </is>
      </c>
      <c r="C31" s="18" t="n">
        <v>19</v>
      </c>
      <c r="D31" s="19" t="n">
        <v>17843.69</v>
      </c>
      <c r="E31" s="19" t="n">
        <v>4965.76</v>
      </c>
      <c r="F31" s="35" t="n">
        <v>0.2782922142225067</v>
      </c>
      <c r="G31" s="18" t="n">
        <v>19</v>
      </c>
      <c r="H31" s="19" t="n">
        <v>19840.85</v>
      </c>
      <c r="I31" s="19" t="n">
        <v>3981.64</v>
      </c>
      <c r="J31" s="35" t="n">
        <v>0.2006789023655741</v>
      </c>
      <c r="K31" s="18" t="n">
        <v>6</v>
      </c>
      <c r="L31" s="19" t="n">
        <v>5643.9</v>
      </c>
      <c r="M31" s="19" t="n">
        <v>1575.86</v>
      </c>
      <c r="N31" s="35" t="n">
        <v>0.2792147274048087</v>
      </c>
    </row>
    <row r="32">
      <c r="A32" s="17" t="inlineStr">
        <is>
          <t>Thalia Rojas</t>
        </is>
      </c>
      <c r="B32" s="17" t="inlineStr">
        <is>
          <t>April</t>
        </is>
      </c>
      <c r="C32" s="18" t="n">
        <v>9</v>
      </c>
      <c r="D32" s="19" t="n">
        <v>14099</v>
      </c>
      <c r="E32" s="19" t="n">
        <v>3941.94</v>
      </c>
      <c r="F32" s="35" t="n">
        <v>0.2795900418469395</v>
      </c>
      <c r="G32" s="18" t="n">
        <v>29</v>
      </c>
      <c r="H32" s="19" t="n">
        <v>39794.4</v>
      </c>
      <c r="I32" s="19" t="n">
        <v>7674.9</v>
      </c>
      <c r="J32" s="35" t="n">
        <v>0.1928638200349798</v>
      </c>
      <c r="K32" s="18" t="n">
        <v>3</v>
      </c>
      <c r="L32" s="19" t="n">
        <v>3617</v>
      </c>
      <c r="M32" s="19" t="n">
        <v>3096.58</v>
      </c>
      <c r="N32" s="35" t="n">
        <v>0.8561183301078241</v>
      </c>
    </row>
    <row r="33">
      <c r="A33" s="28" t="inlineStr"/>
      <c r="B33" s="28" t="inlineStr">
        <is>
          <t>4-mo TOTAL</t>
        </is>
      </c>
      <c r="C33" s="41" t="n">
        <v>52</v>
      </c>
      <c r="D33" s="23" t="n">
        <v>66860.84</v>
      </c>
      <c r="E33" s="23" t="n">
        <v>14786.89</v>
      </c>
      <c r="F33" s="42" t="n">
        <v>0.2211592017091021</v>
      </c>
      <c r="G33" s="41" t="n">
        <v>100</v>
      </c>
      <c r="H33" s="23" t="n">
        <v>121017.34</v>
      </c>
      <c r="I33" s="23" t="n">
        <v>23394.14</v>
      </c>
      <c r="J33" s="42" t="n">
        <v>0.1933122972294714</v>
      </c>
      <c r="K33" s="41" t="n">
        <v>18</v>
      </c>
      <c r="L33" s="23" t="n">
        <v>20396.9</v>
      </c>
      <c r="M33" s="23" t="n">
        <v>8607.619999999999</v>
      </c>
      <c r="N33" s="42" t="n">
        <v>0.4220062852688398</v>
      </c>
    </row>
    <row r="35">
      <c r="A35" s="17" t="inlineStr">
        <is>
          <t>Monica Valdes</t>
        </is>
      </c>
      <c r="B35" s="17" t="inlineStr">
        <is>
          <t>January</t>
        </is>
      </c>
      <c r="C35" s="18" t="n">
        <v>23</v>
      </c>
      <c r="D35" s="19" t="n">
        <v>28605.29</v>
      </c>
      <c r="E35" s="19" t="n">
        <v>6551.7</v>
      </c>
      <c r="F35" s="35" t="n">
        <v>0.2290380555484667</v>
      </c>
      <c r="G35" s="18" t="n">
        <v>37</v>
      </c>
      <c r="H35" s="19" t="n">
        <v>48612.96</v>
      </c>
      <c r="I35" s="19" t="n">
        <v>8203.879999999999</v>
      </c>
      <c r="J35" s="35" t="n">
        <v>0.1687591127962584</v>
      </c>
      <c r="K35" s="18" t="n">
        <v>6</v>
      </c>
      <c r="L35" s="19" t="n">
        <v>6502.91</v>
      </c>
      <c r="M35" s="19" t="n">
        <v>1439.3</v>
      </c>
      <c r="N35" s="35" t="n">
        <v>0.2213316807398534</v>
      </c>
    </row>
    <row r="36">
      <c r="A36" s="17" t="inlineStr">
        <is>
          <t>Monica Valdes</t>
        </is>
      </c>
      <c r="B36" s="17" t="inlineStr">
        <is>
          <t>February</t>
        </is>
      </c>
      <c r="C36" s="18" t="n">
        <v>21</v>
      </c>
      <c r="D36" s="19" t="n">
        <v>31516.95</v>
      </c>
      <c r="E36" s="19" t="n">
        <v>6512.87</v>
      </c>
      <c r="F36" s="35" t="n">
        <v>0.206646582235908</v>
      </c>
      <c r="G36" s="18" t="n">
        <v>29</v>
      </c>
      <c r="H36" s="19" t="n">
        <v>47228.18</v>
      </c>
      <c r="I36" s="19" t="n">
        <v>7155.23</v>
      </c>
      <c r="J36" s="35" t="n">
        <v>0.1515034032647457</v>
      </c>
      <c r="K36" s="18" t="n">
        <v>2</v>
      </c>
      <c r="L36" s="19" t="n">
        <v>3092</v>
      </c>
      <c r="M36" s="19" t="n">
        <v>272.87</v>
      </c>
      <c r="N36" s="35" t="n">
        <v>0.0882503234152652</v>
      </c>
    </row>
    <row r="37">
      <c r="A37" s="17" t="inlineStr">
        <is>
          <t>Monica Valdes</t>
        </is>
      </c>
      <c r="B37" s="17" t="inlineStr">
        <is>
          <t>March</t>
        </is>
      </c>
      <c r="C37" s="18" t="n">
        <v>36</v>
      </c>
      <c r="D37" s="19" t="n">
        <v>68546.22</v>
      </c>
      <c r="E37" s="19" t="n">
        <v>17019.79</v>
      </c>
      <c r="F37" s="35" t="n">
        <v>0.2482965508528406</v>
      </c>
      <c r="G37" s="18" t="n">
        <v>28</v>
      </c>
      <c r="H37" s="19" t="n">
        <v>39254.65</v>
      </c>
      <c r="I37" s="19" t="n">
        <v>5300.53</v>
      </c>
      <c r="J37" s="35" t="n">
        <v>0.135029353210384</v>
      </c>
      <c r="K37" s="18" t="n">
        <v>0</v>
      </c>
      <c r="L37" s="19" t="n">
        <v>0</v>
      </c>
      <c r="M37" s="19" t="n">
        <v>0</v>
      </c>
      <c r="N37" s="35" t="n">
        <v>0</v>
      </c>
    </row>
    <row r="38">
      <c r="A38" s="17" t="inlineStr">
        <is>
          <t>Monica Valdes</t>
        </is>
      </c>
      <c r="B38" s="17" t="inlineStr">
        <is>
          <t>April</t>
        </is>
      </c>
      <c r="C38" s="18" t="n">
        <v>22</v>
      </c>
      <c r="D38" s="19" t="n">
        <v>29755.49</v>
      </c>
      <c r="E38" s="19" t="n">
        <v>6197.26</v>
      </c>
      <c r="F38" s="35" t="n">
        <v>0.2082728262918876</v>
      </c>
      <c r="G38" s="18" t="n">
        <v>22</v>
      </c>
      <c r="H38" s="19" t="n">
        <v>35279.9</v>
      </c>
      <c r="I38" s="19" t="n">
        <v>7305.79</v>
      </c>
      <c r="J38" s="35" t="n">
        <v>0.2070808023832267</v>
      </c>
      <c r="K38" s="18" t="n">
        <v>2</v>
      </c>
      <c r="L38" s="19" t="n">
        <v>2514</v>
      </c>
      <c r="M38" s="19" t="n">
        <v>291.12</v>
      </c>
      <c r="N38" s="35" t="n">
        <v>0.115799522673031</v>
      </c>
    </row>
    <row r="39">
      <c r="A39" s="28" t="inlineStr"/>
      <c r="B39" s="28" t="inlineStr">
        <is>
          <t>4-mo TOTAL</t>
        </is>
      </c>
      <c r="C39" s="41" t="n">
        <v>102</v>
      </c>
      <c r="D39" s="23" t="n">
        <v>158423.95</v>
      </c>
      <c r="E39" s="23" t="n">
        <v>36281.62</v>
      </c>
      <c r="F39" s="42" t="n">
        <v>0.2290160042089596</v>
      </c>
      <c r="G39" s="41" t="n">
        <v>116</v>
      </c>
      <c r="H39" s="23" t="n">
        <v>170375.69</v>
      </c>
      <c r="I39" s="23" t="n">
        <v>27965.43</v>
      </c>
      <c r="J39" s="42" t="n">
        <v>0.1641397901308573</v>
      </c>
      <c r="K39" s="41" t="n">
        <v>10</v>
      </c>
      <c r="L39" s="23" t="n">
        <v>12108.91</v>
      </c>
      <c r="M39" s="23" t="n">
        <v>2003.29</v>
      </c>
      <c r="N39" s="42" t="n">
        <v>0.1654393335155683</v>
      </c>
    </row>
  </sheetData>
  <mergeCells count="2">
    <mergeCell ref="A2:N2"/>
    <mergeCell ref="A1:N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6" customWidth="1" min="1" max="1"/>
    <col width="32" customWidth="1" min="2" max="2"/>
    <col width="28" customWidth="1" min="3" max="3"/>
    <col width="22" customWidth="1" min="4" max="4"/>
    <col width="38" customWidth="1" min="5" max="5"/>
    <col width="14" customWidth="1" min="6" max="6"/>
  </cols>
  <sheetData>
    <row r="1">
      <c r="A1" s="1" t="inlineStr">
        <is>
          <t>Safe Net Explained Simply</t>
        </is>
      </c>
    </row>
    <row r="2">
      <c r="A2" s="26" t="inlineStr">
        <is>
          <t>Safe net = the commission the agency expects to KEEP after corporate royalty and overhead. Bonus comes out of safe net, so the size of safe net controls how much bonus the agency can afford.</t>
        </is>
      </c>
    </row>
    <row r="4">
      <c r="A4" s="5" t="inlineStr">
        <is>
          <t>HOW COMMISSION ACTUALLY WORKS (this is the part most people get wrong)</t>
        </is>
      </c>
    </row>
    <row r="5" ht="38" customHeight="1">
      <c r="A5" s="2" t="inlineStr">
        <is>
          <t>Most carriers pay commission on the WRITTEN premium upfront (advance commission).</t>
        </is>
      </c>
      <c r="B5" s="3" t="inlineStr">
        <is>
          <t>Example: $1,500 policy at 10% advance commission. Agency receives $150 upfront, even if the customer only paid $150 down.</t>
        </is>
      </c>
    </row>
    <row r="6" ht="38" customHeight="1">
      <c r="A6" s="2" t="inlineStr">
        <is>
          <t>Some carriers pay AS EARNED (only on the premium actually collected from the customer).</t>
        </is>
      </c>
      <c r="B6" s="3" t="inlineStr">
        <is>
          <t>On those carriers there is no chargeback risk because nothing was advanced in the first place. Net result is similar.</t>
        </is>
      </c>
    </row>
    <row r="7" ht="38" customHeight="1">
      <c r="A7" s="2" t="inlineStr">
        <is>
          <t>On advance-commission carriers, if the customer stops paying, the carrier reverses the unearned commission.</t>
        </is>
      </c>
      <c r="B7" s="3" t="inlineStr">
        <is>
          <t>Same example: customer pays only $150, then walks. Carrier reverses ~$135 of the $150 advance. Net kept: ~$15.</t>
        </is>
      </c>
    </row>
    <row r="8" ht="38" customHeight="1">
      <c r="A8" s="2" t="inlineStr">
        <is>
          <t>Commission RATES vary 8%-15% by carrier.</t>
        </is>
      </c>
      <c r="B8" s="3" t="inlineStr">
        <is>
          <t>Bristol West 8%, NATIONAL GENERAL 10%, United Auto 12%, Sterling MGA 13%, Geico/Kemper 15%. The workbook uses an 11% blended rate - conservative.</t>
        </is>
      </c>
    </row>
    <row r="9" ht="38" customHeight="1">
      <c r="A9" s="2" t="inlineStr">
        <is>
          <t>Either way, the commission we actually KEEP nets out to roughly: collected x commission rate.</t>
        </is>
      </c>
      <c r="B9" s="3" t="inlineStr">
        <is>
          <t>That is the formula in the workbook. The advance + chargeback model and the as-earned model produce the same long-run number.</t>
        </is>
      </c>
    </row>
    <row r="10" ht="38" customHeight="1">
      <c r="A10" s="2" t="inlineStr">
        <is>
          <t>Higher down payment / PIF reduces chargeback risk and lifts the safe net.</t>
        </is>
      </c>
      <c r="B10" s="3" t="inlineStr">
        <is>
          <t>PIF (100% collected) = no chargeback at all. That is why the collected % kicker matters - it pushes agents toward bigger down payments.</t>
        </is>
      </c>
    </row>
    <row r="12">
      <c r="A12" s="5" t="inlineStr">
        <is>
          <t>STEP-BY-STEP: $1,500 policy, customer pays $150 down (10% collected), 10% carrier commission</t>
        </is>
      </c>
    </row>
    <row r="13">
      <c r="A13" s="6" t="inlineStr">
        <is>
          <t>Step</t>
        </is>
      </c>
      <c r="B13" s="6" t="inlineStr">
        <is>
          <t>What happens</t>
        </is>
      </c>
      <c r="C13" s="6" t="inlineStr">
        <is>
          <t>Math</t>
        </is>
      </c>
      <c r="D13" s="6" t="inlineStr">
        <is>
          <t>Dollar amount</t>
        </is>
      </c>
      <c r="E13" s="6" t="inlineStr">
        <is>
          <t>Running total</t>
        </is>
      </c>
      <c r="F13" s="6" t="inlineStr">
        <is>
          <t>Plain English</t>
        </is>
      </c>
    </row>
    <row r="14" ht="36" customHeight="1">
      <c r="A14" s="29" t="inlineStr">
        <is>
          <t>1</t>
        </is>
      </c>
      <c r="B14" s="29" t="inlineStr">
        <is>
          <t>Policy is written</t>
        </is>
      </c>
      <c r="C14" s="29" t="inlineStr">
        <is>
          <t>Premium $1,500</t>
        </is>
      </c>
      <c r="D14" s="29" t="inlineStr">
        <is>
          <t>$1,500</t>
        </is>
      </c>
      <c r="E14" s="29" t="inlineStr">
        <is>
          <t>$0 in our pocket yet</t>
        </is>
      </c>
      <c r="F14" s="29" t="inlineStr">
        <is>
          <t>The customer is on the hook for $1,500. Most of it is owed on payments.</t>
        </is>
      </c>
    </row>
    <row r="15" ht="36" customHeight="1">
      <c r="A15" s="17" t="inlineStr">
        <is>
          <t>2</t>
        </is>
      </c>
      <c r="B15" s="17" t="inlineStr">
        <is>
          <t>Carrier pays commission on WRITTEN premium</t>
        </is>
      </c>
      <c r="C15" s="17" t="inlineStr">
        <is>
          <t>$1,500 x 10%</t>
        </is>
      </c>
      <c r="D15" s="17" t="inlineStr">
        <is>
          <t>$150</t>
        </is>
      </c>
      <c r="E15" s="17" t="inlineStr">
        <is>
          <t>$150 advance commission</t>
        </is>
      </c>
      <c r="F15" s="17" t="inlineStr">
        <is>
          <t>This is an ADVANCE. The carrier expects to collect the full $1,500.</t>
        </is>
      </c>
    </row>
    <row r="16" ht="36" customHeight="1">
      <c r="A16" s="29" t="inlineStr">
        <is>
          <t>3</t>
        </is>
      </c>
      <c r="B16" s="29" t="inlineStr">
        <is>
          <t>Customer pays $150 down (10% collected)</t>
        </is>
      </c>
      <c r="C16" s="29" t="inlineStr">
        <is>
          <t>$150 cash in</t>
        </is>
      </c>
      <c r="D16" s="29" t="inlineStr">
        <is>
          <t>$150</t>
        </is>
      </c>
      <c r="E16" s="29" t="inlineStr">
        <is>
          <t>$150 cash + $150 commission</t>
        </is>
      </c>
      <c r="F16" s="29" t="inlineStr">
        <is>
          <t>Down payment is just the customer paying their bill. Not commission.</t>
        </is>
      </c>
    </row>
    <row r="17" ht="36" customHeight="1">
      <c r="A17" s="17" t="inlineStr">
        <is>
          <t>4</t>
        </is>
      </c>
      <c r="B17" s="17" t="inlineStr">
        <is>
          <t>If customer pays the rest, no chargeback</t>
        </is>
      </c>
      <c r="C17" s="17" t="inlineStr">
        <is>
          <t>Best case</t>
        </is>
      </c>
      <c r="D17" s="17" t="inlineStr">
        <is>
          <t>Keep $150</t>
        </is>
      </c>
      <c r="E17" s="17" t="inlineStr">
        <is>
          <t>$150 commission kept</t>
        </is>
      </c>
      <c r="F17" s="17" t="inlineStr">
        <is>
          <t>Carrier earned the full premium, we keep the full commission. Renewal still pays.</t>
        </is>
      </c>
    </row>
    <row r="18" ht="36" customHeight="1">
      <c r="A18" s="29" t="inlineStr">
        <is>
          <t>5</t>
        </is>
      </c>
      <c r="B18" s="29" t="inlineStr">
        <is>
          <t>If customer cancels after only paying $150</t>
        </is>
      </c>
      <c r="C18" s="29" t="inlineStr">
        <is>
          <t>Carrier reverses unearned commission</t>
        </is>
      </c>
      <c r="D18" s="29" t="inlineStr">
        <is>
          <t>-$135</t>
        </is>
      </c>
      <c r="E18" s="29" t="inlineStr">
        <is>
          <t>$15 commission kept</t>
        </is>
      </c>
      <c r="F18" s="29" t="inlineStr">
        <is>
          <t>Carrier earned 10% of the $150 collected, the other $135 of commission is reversed.</t>
        </is>
      </c>
    </row>
    <row r="19" ht="36" customHeight="1">
      <c r="A19" s="17" t="inlineStr">
        <is>
          <t>6</t>
        </is>
      </c>
      <c r="B19" s="17" t="inlineStr">
        <is>
          <t>EXPECTED commission ~= collected x rate</t>
        </is>
      </c>
      <c r="C19" s="17" t="inlineStr">
        <is>
          <t>$150 collected x 10%</t>
        </is>
      </c>
      <c r="D19" s="17" t="inlineStr">
        <is>
          <t>$15 expected to keep</t>
        </is>
      </c>
      <c r="E19" s="17" t="inlineStr">
        <is>
          <t>Use this for safe net</t>
        </is>
      </c>
      <c r="F19" s="17" t="inlineStr">
        <is>
          <t>That is why the workbook uses collected x rate. It is the cash we EXPECT to retain.</t>
        </is>
      </c>
    </row>
    <row r="20" ht="36" customHeight="1">
      <c r="A20" s="29" t="inlineStr">
        <is>
          <t>7</t>
        </is>
      </c>
      <c r="B20" s="29" t="inlineStr">
        <is>
          <t>Royalty to corporate (21%)</t>
        </is>
      </c>
      <c r="C20" s="29" t="inlineStr">
        <is>
          <t>$15 x 21%</t>
        </is>
      </c>
      <c r="D20" s="29" t="inlineStr">
        <is>
          <t>-$3.15</t>
        </is>
      </c>
      <c r="E20" s="29" t="inlineStr">
        <is>
          <t>$11.85 retained</t>
        </is>
      </c>
      <c r="F20" s="29" t="inlineStr">
        <is>
          <t>Franchise royalty comes off the top.</t>
        </is>
      </c>
    </row>
    <row r="21" ht="36" customHeight="1">
      <c r="A21" s="17" t="inlineStr">
        <is>
          <t>8</t>
        </is>
      </c>
      <c r="B21" s="17" t="inlineStr">
        <is>
          <t>Overhead reserve (30%)</t>
        </is>
      </c>
      <c r="C21" s="17" t="inlineStr">
        <is>
          <t>$11.85 x 30%</t>
        </is>
      </c>
      <c r="D21" s="17" t="inlineStr">
        <is>
          <t>-$3.56</t>
        </is>
      </c>
      <c r="E21" s="17" t="inlineStr">
        <is>
          <t>$8.30 SAFE NET</t>
        </is>
      </c>
      <c r="F21" s="17" t="inlineStr">
        <is>
          <t>Rent, tech, admin, bank fees. Salaries tracked separately via the minimum.</t>
        </is>
      </c>
    </row>
    <row r="22" ht="36" customHeight="1">
      <c r="A22" s="29" t="inlineStr">
        <is>
          <t>9</t>
        </is>
      </c>
      <c r="B22" s="29" t="inlineStr">
        <is>
          <t>Bonus review threshold (40% of safe net)</t>
        </is>
      </c>
      <c r="C22" s="29" t="inlineStr">
        <is>
          <t>$8.30 x 40%</t>
        </is>
      </c>
      <c r="D22" s="29" t="inlineStr">
        <is>
          <t>$3.32 review cap</t>
        </is>
      </c>
      <c r="E22" s="29" t="inlineStr">
        <is>
          <t>Bonus targets above $2.97 on this policy get flagged for ownership review.</t>
        </is>
      </c>
      <c r="F22" s="29" t="inlineStr">
        <is>
          <t>Soft cap, not auto-cut.</t>
        </is>
      </c>
    </row>
    <row r="24">
      <c r="A24" s="5" t="inlineStr">
        <is>
          <t>WORKED EXAMPLE - Abel Guaina, January 2026 (full month)</t>
        </is>
      </c>
    </row>
    <row r="25">
      <c r="A25" s="6" t="inlineStr">
        <is>
          <t>Step</t>
        </is>
      </c>
      <c r="B25" s="6" t="inlineStr">
        <is>
          <t>Formula</t>
        </is>
      </c>
      <c r="C25" s="6" t="inlineStr">
        <is>
          <t>Plug-in</t>
        </is>
      </c>
      <c r="D25" s="6" t="inlineStr">
        <is>
          <t>Output</t>
        </is>
      </c>
      <c r="E25" s="6" t="inlineStr">
        <is>
          <t>What it means</t>
        </is>
      </c>
    </row>
    <row r="26" ht="36" customHeight="1">
      <c r="A26" s="29" t="inlineStr">
        <is>
          <t>1. Total written premium</t>
        </is>
      </c>
      <c r="B26" s="29" t="inlineStr">
        <is>
          <t>NB + RWR + REN written</t>
        </is>
      </c>
      <c r="C26" s="29" t="inlineStr">
        <is>
          <t>$38,611 + $27,518 + $7,605</t>
        </is>
      </c>
      <c r="D26" s="29" t="inlineStr">
        <is>
          <t>$73,734.92</t>
        </is>
      </c>
      <c r="E26" s="29" t="inlineStr">
        <is>
          <t>What Abel sold and renewed this month</t>
        </is>
      </c>
    </row>
    <row r="27" ht="36" customHeight="1">
      <c r="A27" s="17" t="inlineStr">
        <is>
          <t>2. Carrier commission ADVANCE</t>
        </is>
      </c>
      <c r="B27" s="17" t="inlineStr">
        <is>
          <t>Written x 11% blended</t>
        </is>
      </c>
      <c r="C27" s="17" t="inlineStr">
        <is>
          <t>$73,734.92 x 0.11</t>
        </is>
      </c>
      <c r="D27" s="17" t="inlineStr">
        <is>
          <t>$8,110.84</t>
        </is>
      </c>
      <c r="E27" s="17" t="inlineStr">
        <is>
          <t>Carriers paid us this much commission UPFRONT</t>
        </is>
      </c>
    </row>
    <row r="28" ht="36" customHeight="1">
      <c r="A28" s="29" t="inlineStr">
        <is>
          <t>3. Total collected</t>
        </is>
      </c>
      <c r="B28" s="29" t="inlineStr">
        <is>
          <t>Down payments + installments collected</t>
        </is>
      </c>
      <c r="C28" s="29" t="inlineStr">
        <is>
          <t>$4,938 + $6,186 + $1,734</t>
        </is>
      </c>
      <c r="D28" s="29" t="inlineStr">
        <is>
          <t>$12,858.65</t>
        </is>
      </c>
      <c r="E28" s="29" t="inlineStr">
        <is>
          <t>Cash that actually came in from customers</t>
        </is>
      </c>
    </row>
    <row r="29" ht="36" customHeight="1">
      <c r="A29" s="17" t="inlineStr">
        <is>
          <t>4. Expected retained commission</t>
        </is>
      </c>
      <c r="B29" s="17" t="inlineStr">
        <is>
          <t>Collected x 11% (chargeback math)</t>
        </is>
      </c>
      <c r="C29" s="17" t="inlineStr">
        <is>
          <t>$12,858.65 x 0.11</t>
        </is>
      </c>
      <c r="D29" s="17" t="inlineStr">
        <is>
          <t>$1,414.45</t>
        </is>
      </c>
      <c r="E29" s="17" t="inlineStr">
        <is>
          <t>Net of expected chargebacks. Lower than the advance.</t>
        </is>
      </c>
    </row>
    <row r="30" ht="36" customHeight="1">
      <c r="A30" s="29" t="inlineStr">
        <is>
          <t>5. After royalty</t>
        </is>
      </c>
      <c r="B30" s="29" t="inlineStr">
        <is>
          <t>Retained x (1 - 21%)</t>
        </is>
      </c>
      <c r="C30" s="29" t="inlineStr">
        <is>
          <t>$1,414.45 x 0.79</t>
        </is>
      </c>
      <c r="D30" s="29" t="inlineStr">
        <is>
          <t>$1,117.42</t>
        </is>
      </c>
      <c r="E30" s="29" t="inlineStr">
        <is>
          <t>After 21% corporate royalty</t>
        </is>
      </c>
    </row>
    <row r="31" ht="36" customHeight="1">
      <c r="A31" s="17" t="inlineStr">
        <is>
          <t>6. SAFE NET</t>
        </is>
      </c>
      <c r="B31" s="17" t="inlineStr">
        <is>
          <t>After-royalty x (1 - 30% overhead)</t>
        </is>
      </c>
      <c r="C31" s="17" t="inlineStr">
        <is>
          <t>$1,117.42 x 0.70</t>
        </is>
      </c>
      <c r="D31" s="17" t="inlineStr">
        <is>
          <t>$782.19</t>
        </is>
      </c>
      <c r="E31" s="17" t="inlineStr">
        <is>
          <t>Available for bonus + profit + taxes. Overhead is rent/tech/admin only - salaries tracked via the minimum.</t>
        </is>
      </c>
    </row>
    <row r="32" ht="36" customHeight="1">
      <c r="A32" s="29" t="inlineStr">
        <is>
          <t>7. Review threshold</t>
        </is>
      </c>
      <c r="B32" s="29" t="inlineStr">
        <is>
          <t>Safe net x 40%</t>
        </is>
      </c>
      <c r="C32" s="29" t="inlineStr">
        <is>
          <t>$782.19 x 0.40</t>
        </is>
      </c>
      <c r="D32" s="29" t="inlineStr">
        <is>
          <t>$312.88</t>
        </is>
      </c>
      <c r="E32" s="29" t="inlineStr">
        <is>
          <t>Bonus targets above this trigger ownership review (soft flag)</t>
        </is>
      </c>
    </row>
    <row r="33" ht="36" customHeight="1">
      <c r="A33" s="17" t="inlineStr">
        <is>
          <t>8. Proposal A target paid</t>
        </is>
      </c>
      <c r="B33" s="17" t="inlineStr">
        <is>
          <t>(from plan rules)</t>
        </is>
      </c>
      <c r="C33" s="17" t="inlineStr">
        <is>
          <t>Abel's January NB/REN/RWR</t>
        </is>
      </c>
      <c r="D33" s="17" t="inlineStr">
        <is>
          <t>$252.00</t>
        </is>
      </c>
      <c r="E33" s="17" t="inlineStr">
        <is>
          <t>That is 32% of safe net - under threshold, no flag</t>
        </is>
      </c>
    </row>
    <row r="34" ht="36" customHeight="1">
      <c r="A34" s="29" t="inlineStr">
        <is>
          <t>9. Proposal B target paid</t>
        </is>
      </c>
      <c r="B34" s="29" t="inlineStr">
        <is>
          <t>(from plan rules)</t>
        </is>
      </c>
      <c r="C34" s="29" t="inlineStr">
        <is>
          <t>Bigger because $10 NB base</t>
        </is>
      </c>
      <c r="D34" s="29" t="inlineStr">
        <is>
          <t>$399.46</t>
        </is>
      </c>
      <c r="E34" s="29" t="inlineStr">
        <is>
          <t>That is 51% of safe net - flagged for review</t>
        </is>
      </c>
    </row>
    <row r="36">
      <c r="A36" s="5" t="inlineStr">
        <is>
          <t>KEY TAKEAWAYS</t>
        </is>
      </c>
    </row>
    <row r="37" ht="40" customHeight="1">
      <c r="A37" s="43" t="inlineStr">
        <is>
          <t>Commission is an ADVANCE on written premium. We keep ~commission-on-collected once chargebacks settle out.</t>
        </is>
      </c>
    </row>
    <row r="38" ht="40" customHeight="1">
      <c r="A38" s="43" t="inlineStr">
        <is>
          <t>Down payment / PIF do NOT change the commission RATE. They reduce CHARGEBACK risk, which makes more of the advance permanent.</t>
        </is>
      </c>
    </row>
    <row r="39" ht="40" customHeight="1">
      <c r="A39" s="43" t="inlineStr">
        <is>
          <t>Safe net is what is LEFT after royalty and overhead reserve. It is the pool for bonus + agency profit + taxes.</t>
        </is>
      </c>
    </row>
    <row r="40" ht="40" customHeight="1">
      <c r="A40" s="43" t="inlineStr">
        <is>
          <t>Under TODAY'S plan, the 6 agents collectively receive $12,220 of bonus on $21,285 of safe net = ~57% of safe net. That is heavy. All three new proposals come in well below 57%.</t>
        </is>
      </c>
    </row>
    <row r="41" ht="40" customHeight="1">
      <c r="A41" s="43" t="inlineStr">
        <is>
          <t>The 40% review threshold is a soft flag, not an auto-cut. The 90-day chargeback on the bonus itself is the real profit shield.</t>
        </is>
      </c>
    </row>
  </sheetData>
  <mergeCells count="17">
    <mergeCell ref="A24:F24"/>
    <mergeCell ref="A2:F2"/>
    <mergeCell ref="A38:F38"/>
    <mergeCell ref="A41:F41"/>
    <mergeCell ref="B7:F7"/>
    <mergeCell ref="B6:F6"/>
    <mergeCell ref="A36:F36"/>
    <mergeCell ref="B10:F10"/>
    <mergeCell ref="A1:F1"/>
    <mergeCell ref="A37:F37"/>
    <mergeCell ref="B5:F5"/>
    <mergeCell ref="A40:F40"/>
    <mergeCell ref="A12:F12"/>
    <mergeCell ref="A4:F4"/>
    <mergeCell ref="B8:F8"/>
    <mergeCell ref="A39:F39"/>
    <mergeCell ref="B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2" customWidth="1" min="1" max="1"/>
    <col width="18" customWidth="1" min="2" max="2"/>
    <col width="38" customWidth="1" min="3" max="3"/>
    <col width="18" customWidth="1" min="4" max="4"/>
    <col width="22" customWidth="1" min="5" max="5"/>
  </cols>
  <sheetData>
    <row r="1">
      <c r="A1" s="1" t="inlineStr">
        <is>
          <t>Collected % Kicker (applies to BOTH proposals)</t>
        </is>
      </c>
    </row>
    <row r="2">
      <c r="A2" s="26" t="inlineStr">
        <is>
          <t>The kicker is applied to the per-policy target BEFORE the safe-net cap. It rewards collecting cash, not just writing premium.</t>
        </is>
      </c>
    </row>
    <row r="4">
      <c r="A4" s="6" t="inlineStr">
        <is>
          <t>Collected % of Premium</t>
        </is>
      </c>
      <c r="B4" s="6" t="inlineStr">
        <is>
          <t>Multiplier</t>
        </is>
      </c>
      <c r="C4" s="6" t="inlineStr">
        <is>
          <t>Plain English</t>
        </is>
      </c>
      <c r="D4" s="6" t="inlineStr">
        <is>
          <t>Example: $10 target</t>
        </is>
      </c>
      <c r="E4" s="6" t="inlineStr">
        <is>
          <t>Example after Kicker</t>
        </is>
      </c>
    </row>
    <row r="5">
      <c r="A5" s="17" t="inlineStr">
        <is>
          <t>Below 15%</t>
        </is>
      </c>
      <c r="B5" s="17" t="inlineStr">
        <is>
          <t>x 1.00 (none)</t>
        </is>
      </c>
      <c r="C5" s="17" t="inlineStr">
        <is>
          <t>Premium barely collected. No kicker.</t>
        </is>
      </c>
      <c r="D5" s="17" t="inlineStr">
        <is>
          <t>$10</t>
        </is>
      </c>
      <c r="E5" s="17" t="inlineStr">
        <is>
          <t>$10.00</t>
        </is>
      </c>
    </row>
    <row r="6">
      <c r="A6" s="29" t="inlineStr">
        <is>
          <t>15% - 24%</t>
        </is>
      </c>
      <c r="B6" s="29" t="inlineStr">
        <is>
          <t>x 1.10 (+10%)</t>
        </is>
      </c>
      <c r="C6" s="29" t="inlineStr">
        <is>
          <t>Minimum down. Small kicker.</t>
        </is>
      </c>
      <c r="D6" s="29" t="inlineStr">
        <is>
          <t>$10</t>
        </is>
      </c>
      <c r="E6" s="29" t="inlineStr">
        <is>
          <t>$11.00</t>
        </is>
      </c>
    </row>
    <row r="7">
      <c r="A7" s="17" t="inlineStr">
        <is>
          <t>25% - 49%</t>
        </is>
      </c>
      <c r="B7" s="17" t="inlineStr">
        <is>
          <t>x 1.15 (+15%)</t>
        </is>
      </c>
      <c r="C7" s="17" t="inlineStr">
        <is>
          <t>Standard down. Standard kicker.</t>
        </is>
      </c>
      <c r="D7" s="17" t="inlineStr">
        <is>
          <t>$10</t>
        </is>
      </c>
      <c r="E7" s="17" t="inlineStr">
        <is>
          <t>$11.50</t>
        </is>
      </c>
    </row>
    <row r="8">
      <c r="A8" s="29" t="inlineStr">
        <is>
          <t>50% - 99%</t>
        </is>
      </c>
      <c r="B8" s="29" t="inlineStr">
        <is>
          <t>x 1.20 (+20%)</t>
        </is>
      </c>
      <c r="C8" s="29" t="inlineStr">
        <is>
          <t>High collection. Stronger kicker.</t>
        </is>
      </c>
      <c r="D8" s="29" t="inlineStr">
        <is>
          <t>$10</t>
        </is>
      </c>
      <c r="E8" s="29" t="inlineStr">
        <is>
          <t>$12.00</t>
        </is>
      </c>
    </row>
    <row r="9">
      <c r="A9" s="17" t="inlineStr">
        <is>
          <t>100% (PIF)</t>
        </is>
      </c>
      <c r="B9" s="17" t="inlineStr">
        <is>
          <t>x 1.25 (+25%)</t>
        </is>
      </c>
      <c r="C9" s="17" t="inlineStr">
        <is>
          <t>Paid in full. Top kicker.</t>
        </is>
      </c>
      <c r="D9" s="17" t="inlineStr">
        <is>
          <t>$10</t>
        </is>
      </c>
      <c r="E9" s="17" t="inlineStr">
        <is>
          <t>$12.50</t>
        </is>
      </c>
    </row>
    <row r="12">
      <c r="A12" s="5" t="inlineStr">
        <is>
          <t>Why use the collected % instead of the written premium</t>
        </is>
      </c>
    </row>
    <row r="13" ht="30" customHeight="1">
      <c r="A13" s="43" t="inlineStr">
        <is>
          <t>Written premium is the carrier number. Collected premium is the agency number - it is the cash that actually pays commission, rent, and payroll.</t>
        </is>
      </c>
    </row>
    <row r="14" ht="30" customHeight="1">
      <c r="A14" s="43" t="inlineStr">
        <is>
          <t>Without the kicker, a policy with a $50 down looks the same as one with a $500 down. With the kicker, the agent who pushes for a bigger down earns more.</t>
        </is>
      </c>
    </row>
    <row r="15" ht="30" customHeight="1">
      <c r="A15" s="43" t="inlineStr">
        <is>
          <t>The kicker is INSIDE the cap. The cap is still 15% of safe net. So a high kicker on a low-collected policy cannot break ownership economics.</t>
        </is>
      </c>
    </row>
  </sheetData>
  <mergeCells count="6">
    <mergeCell ref="A12:E12"/>
    <mergeCell ref="A2:E2"/>
    <mergeCell ref="A15:E15"/>
    <mergeCell ref="A1:E1"/>
    <mergeCell ref="A13:E13"/>
    <mergeCell ref="A14:E1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2" customWidth="1" min="1" max="1"/>
    <col width="36" customWidth="1" min="2" max="2"/>
    <col width="26" customWidth="1" min="3" max="3"/>
    <col width="18" customWidth="1" min="4" max="4"/>
    <col width="60" customWidth="1" min="5" max="5"/>
  </cols>
  <sheetData>
    <row r="1">
      <c r="A1" s="1" t="inlineStr">
        <is>
          <t>Profitability Review (applies to ALL proposals)</t>
        </is>
      </c>
    </row>
    <row r="2">
      <c r="A2" s="26" t="inlineStr">
        <is>
          <t>Policy: PAY THE TARGET. The "cap" is a SOFT REVIEW THRESHOLD - if monthly bonus target exceeds 40% of safe net, ownership reviews that agent-month. Today the current plan pays ~57% of safe net so all three proposals are cheaper.</t>
        </is>
      </c>
    </row>
    <row r="4">
      <c r="A4" s="6" t="inlineStr">
        <is>
          <t>Step</t>
        </is>
      </c>
      <c r="B4" s="6" t="inlineStr">
        <is>
          <t>Formula</t>
        </is>
      </c>
      <c r="C4" s="6" t="inlineStr">
        <is>
          <t>Example Input</t>
        </is>
      </c>
      <c r="D4" s="6" t="inlineStr">
        <is>
          <t>Example Output</t>
        </is>
      </c>
      <c r="E4" s="6" t="inlineStr">
        <is>
          <t>Why</t>
        </is>
      </c>
    </row>
    <row r="5" ht="26" customHeight="1">
      <c r="A5" s="17" t="inlineStr">
        <is>
          <t>1. Gross commission</t>
        </is>
      </c>
      <c r="B5" s="17" t="inlineStr">
        <is>
          <t>Collected $ x Blended Carrier Comm %</t>
        </is>
      </c>
      <c r="C5" s="17" t="inlineStr">
        <is>
          <t>$5,000 collected x 11%</t>
        </is>
      </c>
      <c r="D5" s="17" t="inlineStr">
        <is>
          <t>$550.00</t>
        </is>
      </c>
      <c r="E5" s="17" t="inlineStr">
        <is>
          <t>What the agency actually earns from the carrier on the collected portion.</t>
        </is>
      </c>
    </row>
    <row r="6" ht="26" customHeight="1">
      <c r="A6" s="29" t="inlineStr">
        <is>
          <t>2. After royalty</t>
        </is>
      </c>
      <c r="B6" s="29" t="inlineStr">
        <is>
          <t>Gross Comm x (1 - 21%)</t>
        </is>
      </c>
      <c r="C6" s="29" t="inlineStr">
        <is>
          <t>$550 x 0.79</t>
        </is>
      </c>
      <c r="D6" s="29" t="inlineStr">
        <is>
          <t>$434.50</t>
        </is>
      </c>
      <c r="E6" s="29" t="inlineStr">
        <is>
          <t>Franchise royalty removed first.</t>
        </is>
      </c>
    </row>
    <row r="7" ht="26" customHeight="1">
      <c r="A7" s="17" t="inlineStr">
        <is>
          <t>3. Safe net</t>
        </is>
      </c>
      <c r="B7" s="17" t="inlineStr">
        <is>
          <t>After-royalty x (1 - 30% overhead)</t>
        </is>
      </c>
      <c r="C7" s="17" t="inlineStr">
        <is>
          <t>$434.50 x 0.70</t>
        </is>
      </c>
      <c r="D7" s="17" t="inlineStr">
        <is>
          <t>$304.15</t>
        </is>
      </c>
      <c r="E7" s="17" t="inlineStr">
        <is>
          <t>Cash available after rent/tech/admin (salaries tracked via the minimum, not here).</t>
        </is>
      </c>
    </row>
    <row r="8" ht="26" customHeight="1">
      <c r="A8" s="29" t="inlineStr">
        <is>
          <t>4. Bonus target (proposal)</t>
        </is>
      </c>
      <c r="B8" s="29" t="inlineStr">
        <is>
          <t>Per-policy rules + collected kicker</t>
        </is>
      </c>
      <c r="C8" s="29" t="inlineStr">
        <is>
          <t>Per the proposal sheet</t>
        </is>
      </c>
      <c r="D8" s="29" t="inlineStr">
        <is>
          <t>e.g., $70</t>
        </is>
      </c>
      <c r="E8" s="29" t="inlineStr">
        <is>
          <t>Calculated by the plan rules.</t>
        </is>
      </c>
    </row>
    <row r="9" ht="26" customHeight="1">
      <c r="A9" s="17" t="inlineStr">
        <is>
          <t>5. Bonus % of safe net</t>
        </is>
      </c>
      <c r="B9" s="17" t="inlineStr">
        <is>
          <t>Target / safe net</t>
        </is>
      </c>
      <c r="C9" s="17" t="inlineStr">
        <is>
          <t>$70 / $304.15</t>
        </is>
      </c>
      <c r="D9" s="17" t="inlineStr">
        <is>
          <t>23%</t>
        </is>
      </c>
      <c r="E9" s="17" t="inlineStr">
        <is>
          <t>How much of safe net is going to bonus this month for this agent.</t>
        </is>
      </c>
    </row>
    <row r="10" ht="26" customHeight="1">
      <c r="A10" s="29" t="inlineStr">
        <is>
          <t>6. Review threshold</t>
        </is>
      </c>
      <c r="B10" s="29" t="inlineStr">
        <is>
          <t>40% of safe net</t>
        </is>
      </c>
      <c r="C10" s="29" t="inlineStr">
        <is>
          <t>$304.15 x 0.40 = $121.66</t>
        </is>
      </c>
      <c r="D10" s="29" t="inlineStr">
        <is>
          <t>Compare</t>
        </is>
      </c>
      <c r="E10" s="29" t="inlineStr">
        <is>
          <t>If target &lt;= $121.66, auto-pay. If target &gt; $121.66, ownership reviews.</t>
        </is>
      </c>
    </row>
    <row r="11" ht="26" customHeight="1">
      <c r="A11" s="17" t="inlineStr">
        <is>
          <t>7. What ownership reviews</t>
        </is>
      </c>
      <c r="B11" s="17" t="inlineStr">
        <is>
          <t>High-bonus % months</t>
        </is>
      </c>
      <c r="C11" s="17" t="inlineStr">
        <is>
          <t>Why is collection so low?</t>
        </is>
      </c>
      <c r="D11" s="17" t="inlineStr">
        <is>
          <t>Coach or override</t>
        </is>
      </c>
      <c r="E11" s="17" t="inlineStr">
        <is>
          <t>Catches the case where an agent writes premium without collecting.</t>
        </is>
      </c>
    </row>
    <row r="12" ht="26" customHeight="1">
      <c r="A12" s="29" t="inlineStr">
        <is>
          <t>8. PRIMARY PROTECTION</t>
        </is>
      </c>
      <c r="B12" s="29" t="inlineStr">
        <is>
          <t>90-day chargeback</t>
        </is>
      </c>
      <c r="C12" s="29" t="inlineStr">
        <is>
          <t>100% reversal</t>
        </is>
      </c>
      <c r="D12" s="29" t="inlineStr">
        <is>
          <t>On cancel/rewrite</t>
        </is>
      </c>
      <c r="E12" s="29" t="inlineStr">
        <is>
          <t>This is the real profit shield - paid bonus is reversed if the policy does not stick.</t>
        </is>
      </c>
    </row>
    <row r="15">
      <c r="A15" s="5" t="inlineStr">
        <is>
          <t>Why we are NOT using a hard automatic cap</t>
        </is>
      </c>
    </row>
    <row r="16" ht="38" customHeight="1">
      <c r="A16" s="43" t="inlineStr">
        <is>
          <t>A hard cap on every month at a low % (e.g., 15%) would squash the proposals so much they all pay the same amount - making A, B, and C indistinguishable. That defeats the purpose of having choices.</t>
        </is>
      </c>
    </row>
    <row r="17" ht="38" customHeight="1">
      <c r="A17" s="43" t="inlineStr">
        <is>
          <t>The 40% REVIEW threshold flags outlier months (low collection, high written premium) so ownership can act, without making the everyday bonus arbitrary.</t>
        </is>
      </c>
    </row>
    <row r="18" ht="38" customHeight="1">
      <c r="A18" s="43" t="inlineStr">
        <is>
          <t>The 90-day CHARGEBACK is the actual profit protection. If a policy cancels in 90 days, the bonus is reversed. That matches carrier commission chargeback exposure exactly.</t>
        </is>
      </c>
    </row>
    <row r="19" ht="38" customHeight="1">
      <c r="A19" s="43" t="inlineStr">
        <is>
          <t>The 4-month modeled cost: Current $12,220, Proposal A $6,219, Proposal B $9,459 (no-min, target). Both new proposals are CHEAPER than the current plan even at full target.</t>
        </is>
      </c>
    </row>
  </sheetData>
  <mergeCells count="7">
    <mergeCell ref="A16:E16"/>
    <mergeCell ref="A15:E15"/>
    <mergeCell ref="A2:H2"/>
    <mergeCell ref="A19:E19"/>
    <mergeCell ref="A1:H1"/>
    <mergeCell ref="A17:E17"/>
    <mergeCell ref="A18:E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6" customWidth="1" min="1" max="1"/>
    <col width="12" customWidth="1" min="2" max="2"/>
    <col width="30" customWidth="1" min="3" max="3"/>
    <col width="18" customWidth="1" min="4" max="4"/>
    <col width="30" customWidth="1" min="5" max="5"/>
    <col width="22" customWidth="1" min="6" max="6"/>
    <col width="28" customWidth="1" min="7" max="7"/>
  </cols>
  <sheetData>
    <row r="1">
      <c r="A1" s="1" t="inlineStr">
        <is>
          <t>90-Day Cancellation and Rewrite Chargeback</t>
        </is>
      </c>
    </row>
    <row r="2">
      <c r="A2" s="26" t="inlineStr">
        <is>
          <t>Every bonused policy is reviewed 90 days after effective date. If it cancels or rewrites, the paid bonus is reversed 100%.</t>
        </is>
      </c>
    </row>
    <row r="4">
      <c r="A4" s="6" t="inlineStr">
        <is>
          <t>Step</t>
        </is>
      </c>
      <c r="B4" s="6" t="inlineStr">
        <is>
          <t>Owner</t>
        </is>
      </c>
      <c r="C4" s="6" t="inlineStr">
        <is>
          <t>Action</t>
        </is>
      </c>
      <c r="D4" s="6" t="inlineStr">
        <is>
          <t>Timing</t>
        </is>
      </c>
      <c r="E4" s="6" t="inlineStr">
        <is>
          <t>Required Fields</t>
        </is>
      </c>
      <c r="F4" s="6" t="inlineStr">
        <is>
          <t>Payroll Result</t>
        </is>
      </c>
      <c r="G4" s="6" t="inlineStr">
        <is>
          <t>Example</t>
        </is>
      </c>
    </row>
    <row r="5" ht="30" customHeight="1">
      <c r="A5" s="17" t="inlineStr">
        <is>
          <t>1</t>
        </is>
      </c>
      <c r="B5" s="17" t="inlineStr">
        <is>
          <t>Agent</t>
        </is>
      </c>
      <c r="C5" s="17" t="inlineStr">
        <is>
          <t>Enter policy in monthly tracker</t>
        </is>
      </c>
      <c r="D5" s="17" t="inlineStr">
        <is>
          <t>Same month written</t>
        </is>
      </c>
      <c r="E5" s="17" t="inlineStr">
        <is>
          <t>Customer, policy, company, type, premium, collected, PIF, coverages</t>
        </is>
      </c>
      <c r="F5" s="17" t="inlineStr">
        <is>
          <t>Eligible for review</t>
        </is>
      </c>
      <c r="G5" s="17" t="inlineStr">
        <is>
          <t>NB policy written Jan 12</t>
        </is>
      </c>
    </row>
    <row r="6" ht="30" customHeight="1">
      <c r="A6" s="29" t="inlineStr">
        <is>
          <t>2</t>
        </is>
      </c>
      <c r="B6" s="29" t="inlineStr">
        <is>
          <t>Manager</t>
        </is>
      </c>
      <c r="C6" s="29" t="inlineStr">
        <is>
          <t>Verify premium, collected, PIF, coverages</t>
        </is>
      </c>
      <c r="D6" s="29" t="inlineStr">
        <is>
          <t>Before payroll</t>
        </is>
      </c>
      <c r="E6" s="29" t="inlineStr">
        <is>
          <t>Receipts, dec page, MVR, carrier proof</t>
        </is>
      </c>
      <c r="F6" s="29" t="inlineStr">
        <is>
          <t>Approved or denied</t>
        </is>
      </c>
      <c r="G6" s="29" t="inlineStr">
        <is>
          <t>BI/UM proof attached</t>
        </is>
      </c>
    </row>
    <row r="7" ht="30" customHeight="1">
      <c r="A7" s="17" t="inlineStr">
        <is>
          <t>3</t>
        </is>
      </c>
      <c r="B7" s="17" t="inlineStr">
        <is>
          <t>Payroll</t>
        </is>
      </c>
      <c r="C7" s="17" t="inlineStr">
        <is>
          <t>Pay approved bonus</t>
        </is>
      </c>
      <c r="D7" s="17" t="inlineStr">
        <is>
          <t>Monthly payroll</t>
        </is>
      </c>
      <c r="E7" s="17" t="inlineStr">
        <is>
          <t>Approved tracker row</t>
        </is>
      </c>
      <c r="F7" s="17" t="inlineStr">
        <is>
          <t>Bonus paid</t>
        </is>
      </c>
      <c r="G7" s="17" t="inlineStr">
        <is>
          <t>$15 paid in January</t>
        </is>
      </c>
    </row>
    <row r="8" ht="30" customHeight="1">
      <c r="A8" s="29" t="inlineStr">
        <is>
          <t>4</t>
        </is>
      </c>
      <c r="B8" s="29" t="inlineStr">
        <is>
          <t>Manager</t>
        </is>
      </c>
      <c r="C8" s="29" t="inlineStr">
        <is>
          <t>Review policy 90 days after effective</t>
        </is>
      </c>
      <c r="D8" s="29" t="inlineStr">
        <is>
          <t>Month 3</t>
        </is>
      </c>
      <c r="E8" s="29" t="inlineStr">
        <is>
          <t>Carrier status, cancel/rewrite report</t>
        </is>
      </c>
      <c r="F8" s="29" t="inlineStr">
        <is>
          <t>Keep or chargeback</t>
        </is>
      </c>
      <c r="G8" s="29" t="inlineStr">
        <is>
          <t>Jan 12 reviewed Apr 12</t>
        </is>
      </c>
    </row>
    <row r="9" ht="30" customHeight="1">
      <c r="A9" s="17" t="inlineStr">
        <is>
          <t>5</t>
        </is>
      </c>
      <c r="B9" s="17" t="inlineStr">
        <is>
          <t>Payroll</t>
        </is>
      </c>
      <c r="C9" s="17" t="inlineStr">
        <is>
          <t>If cancel/rewrite, reverse 100%</t>
        </is>
      </c>
      <c r="D9" s="17" t="inlineStr">
        <is>
          <t>Next payroll</t>
        </is>
      </c>
      <c r="E9" s="17" t="inlineStr">
        <is>
          <t>Cancel/rewrite flag</t>
        </is>
      </c>
      <c r="F9" s="17" t="inlineStr">
        <is>
          <t>Negative bonus line</t>
        </is>
      </c>
      <c r="G9" s="17" t="inlineStr">
        <is>
          <t>-$15 chargeback</t>
        </is>
      </c>
    </row>
    <row r="10" ht="30" customHeight="1">
      <c r="A10" s="29" t="inlineStr">
        <is>
          <t>6</t>
        </is>
      </c>
      <c r="B10" s="29" t="inlineStr">
        <is>
          <t>Manager</t>
        </is>
      </c>
      <c r="C10" s="29" t="inlineStr">
        <is>
          <t>Document exception if ownership approves</t>
        </is>
      </c>
      <c r="D10" s="29" t="inlineStr">
        <is>
          <t>As needed</t>
        </is>
      </c>
      <c r="E10" s="29" t="inlineStr">
        <is>
          <t>Written approval</t>
        </is>
      </c>
      <c r="F10" s="29" t="inlineStr">
        <is>
          <t>Exception logged</t>
        </is>
      </c>
      <c r="G10" s="29" t="inlineStr">
        <is>
          <t>Carrier error fix</t>
        </is>
      </c>
    </row>
    <row r="11" ht="30" customHeight="1">
      <c r="A11" s="17" t="inlineStr">
        <is>
          <t>7</t>
        </is>
      </c>
      <c r="B11" s="17" t="inlineStr">
        <is>
          <t>Ownership</t>
        </is>
      </c>
      <c r="C11" s="17" t="inlineStr">
        <is>
          <t>Review monthly chargeback totals</t>
        </is>
      </c>
      <c r="D11" s="17" t="inlineStr">
        <is>
          <t>Monthly</t>
        </is>
      </c>
      <c r="E11" s="17" t="inlineStr">
        <is>
          <t>Chargeback report</t>
        </is>
      </c>
      <c r="F11" s="17" t="inlineStr">
        <is>
          <t>Coach or adjust plan</t>
        </is>
      </c>
      <c r="G11" s="17" t="inlineStr">
        <is>
          <t>High chargeback agent flagged</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cols>
    <col width="16" customWidth="1" min="1" max="1"/>
    <col width="16" customWidth="1" min="2" max="2"/>
    <col width="12" customWidth="1" min="3" max="3"/>
    <col width="8" customWidth="1" min="4" max="4"/>
    <col width="14" customWidth="1" min="5" max="5"/>
    <col width="10" customWidth="1" min="6" max="6"/>
    <col width="12" customWidth="1" min="7" max="7"/>
    <col width="11" customWidth="1" min="8" max="8"/>
    <col width="12" customWidth="1" min="9" max="9"/>
    <col width="6" customWidth="1" min="10" max="10"/>
    <col width="6" customWidth="1" min="11" max="11"/>
    <col width="12" customWidth="1" min="12" max="12"/>
    <col width="6" customWidth="1" min="13" max="13"/>
    <col width="6" customWidth="1" min="14" max="14"/>
    <col width="6" customWidth="1" min="15" max="15"/>
    <col width="14" customWidth="1" min="16" max="16"/>
    <col width="11" customWidth="1" min="17" max="17"/>
    <col width="9" customWidth="1" min="18" max="18"/>
    <col width="11" customWidth="1" min="19" max="19"/>
    <col width="12" customWidth="1" min="20" max="20"/>
  </cols>
  <sheetData>
    <row r="1">
      <c r="A1" s="1" t="inlineStr">
        <is>
          <t>Monthly Manual Bonus Tracker - Template</t>
        </is>
      </c>
    </row>
    <row r="2">
      <c r="A2" s="26" t="inlineStr">
        <is>
          <t>One copy per month per agent. Only verified rows get paid. Use this whether running Proposal A, B, or C.</t>
        </is>
      </c>
    </row>
    <row r="4">
      <c r="A4" s="6" t="inlineStr">
        <is>
          <t>Agent</t>
        </is>
      </c>
      <c r="B4" s="6" t="inlineStr">
        <is>
          <t>Customer</t>
        </is>
      </c>
      <c r="C4" s="6" t="inlineStr">
        <is>
          <t>Policy #</t>
        </is>
      </c>
      <c r="D4" s="6" t="inlineStr">
        <is>
          <t>Type</t>
        </is>
      </c>
      <c r="E4" s="6" t="inlineStr">
        <is>
          <t>Carrier</t>
        </is>
      </c>
      <c r="F4" s="6" t="inlineStr">
        <is>
          <t>Eff Date</t>
        </is>
      </c>
      <c r="G4" s="6" t="inlineStr">
        <is>
          <t>Written Premium</t>
        </is>
      </c>
      <c r="H4" s="6" t="inlineStr">
        <is>
          <t>Carrier Comm %</t>
        </is>
      </c>
      <c r="I4" s="6" t="inlineStr">
        <is>
          <t>Collected $</t>
        </is>
      </c>
      <c r="J4" s="6" t="inlineStr">
        <is>
          <t>BI?</t>
        </is>
      </c>
      <c r="K4" s="6" t="inlineStr">
        <is>
          <t>UM?</t>
        </is>
      </c>
      <c r="L4" s="6" t="inlineStr">
        <is>
          <t>BI+UM Bundle?</t>
        </is>
      </c>
      <c r="M4" s="6" t="inlineStr">
        <is>
          <t>Comp?</t>
        </is>
      </c>
      <c r="N4" s="6" t="inlineStr">
        <is>
          <t>Coll?</t>
        </is>
      </c>
      <c r="O4" s="6" t="inlineStr">
        <is>
          <t>PIF?</t>
        </is>
      </c>
      <c r="P4" s="6" t="inlineStr">
        <is>
          <t>90-Day Review Date</t>
        </is>
      </c>
      <c r="Q4" s="6" t="inlineStr">
        <is>
          <t>Target Bonus</t>
        </is>
      </c>
      <c r="R4" s="6" t="inlineStr">
        <is>
          <t>Cap</t>
        </is>
      </c>
      <c r="S4" s="6" t="inlineStr">
        <is>
          <t>Final Paid</t>
        </is>
      </c>
      <c r="T4" s="6" t="inlineStr">
        <is>
          <t>Chargeback?</t>
        </is>
      </c>
    </row>
    <row r="5">
      <c r="A5" s="17" t="inlineStr"/>
      <c r="B5" s="17" t="inlineStr"/>
      <c r="C5" s="17" t="inlineStr"/>
      <c r="D5" s="17" t="inlineStr"/>
      <c r="E5" s="17" t="inlineStr"/>
      <c r="F5" s="17" t="inlineStr"/>
      <c r="G5" s="17" t="inlineStr"/>
      <c r="H5" s="17" t="inlineStr"/>
      <c r="I5" s="17" t="inlineStr"/>
      <c r="J5" s="17" t="inlineStr"/>
      <c r="K5" s="17" t="inlineStr"/>
      <c r="L5" s="17" t="inlineStr"/>
      <c r="M5" s="17" t="inlineStr"/>
      <c r="N5" s="17" t="inlineStr"/>
      <c r="O5" s="17" t="inlineStr"/>
      <c r="P5" s="17" t="inlineStr"/>
      <c r="Q5" s="17" t="inlineStr"/>
      <c r="R5" s="17" t="inlineStr"/>
      <c r="S5" s="17" t="inlineStr"/>
      <c r="T5" s="17" t="inlineStr"/>
    </row>
    <row r="6">
      <c r="A6" s="17" t="inlineStr"/>
      <c r="B6" s="17" t="inlineStr"/>
      <c r="C6" s="17" t="inlineStr"/>
      <c r="D6" s="17" t="inlineStr"/>
      <c r="E6" s="17" t="inlineStr"/>
      <c r="F6" s="17" t="inlineStr"/>
      <c r="G6" s="17" t="inlineStr"/>
      <c r="H6" s="17" t="inlineStr"/>
      <c r="I6" s="17" t="inlineStr"/>
      <c r="J6" s="17" t="inlineStr"/>
      <c r="K6" s="17" t="inlineStr"/>
      <c r="L6" s="17" t="inlineStr"/>
      <c r="M6" s="17" t="inlineStr"/>
      <c r="N6" s="17" t="inlineStr"/>
      <c r="O6" s="17" t="inlineStr"/>
      <c r="P6" s="17" t="inlineStr"/>
      <c r="Q6" s="17" t="inlineStr"/>
      <c r="R6" s="17" t="inlineStr"/>
      <c r="S6" s="17" t="inlineStr"/>
      <c r="T6" s="17" t="inlineStr"/>
    </row>
    <row r="7">
      <c r="A7" s="17" t="inlineStr"/>
      <c r="B7" s="17" t="inlineStr"/>
      <c r="C7" s="17" t="inlineStr"/>
      <c r="D7" s="17" t="inlineStr"/>
      <c r="E7" s="17" t="inlineStr"/>
      <c r="F7" s="17" t="inlineStr"/>
      <c r="G7" s="17" t="inlineStr"/>
      <c r="H7" s="17" t="inlineStr"/>
      <c r="I7" s="17" t="inlineStr"/>
      <c r="J7" s="17" t="inlineStr"/>
      <c r="K7" s="17" t="inlineStr"/>
      <c r="L7" s="17" t="inlineStr"/>
      <c r="M7" s="17" t="inlineStr"/>
      <c r="N7" s="17" t="inlineStr"/>
      <c r="O7" s="17" t="inlineStr"/>
      <c r="P7" s="17" t="inlineStr"/>
      <c r="Q7" s="17" t="inlineStr"/>
      <c r="R7" s="17" t="inlineStr"/>
      <c r="S7" s="17" t="inlineStr"/>
      <c r="T7" s="17" t="inlineStr"/>
    </row>
    <row r="8">
      <c r="A8" s="17" t="inlineStr"/>
      <c r="B8" s="17" t="inlineStr"/>
      <c r="C8" s="17" t="inlineStr"/>
      <c r="D8" s="17" t="inlineStr"/>
      <c r="E8" s="17" t="inlineStr"/>
      <c r="F8" s="17" t="inlineStr"/>
      <c r="G8" s="17" t="inlineStr"/>
      <c r="H8" s="17" t="inlineStr"/>
      <c r="I8" s="17" t="inlineStr"/>
      <c r="J8" s="17" t="inlineStr"/>
      <c r="K8" s="17" t="inlineStr"/>
      <c r="L8" s="17" t="inlineStr"/>
      <c r="M8" s="17" t="inlineStr"/>
      <c r="N8" s="17" t="inlineStr"/>
      <c r="O8" s="17" t="inlineStr"/>
      <c r="P8" s="17" t="inlineStr"/>
      <c r="Q8" s="17" t="inlineStr"/>
      <c r="R8" s="17" t="inlineStr"/>
      <c r="S8" s="17" t="inlineStr"/>
      <c r="T8" s="17" t="inlineStr"/>
    </row>
    <row r="9">
      <c r="A9" s="17" t="inlineStr"/>
      <c r="B9" s="17" t="inlineStr"/>
      <c r="C9" s="17" t="inlineStr"/>
      <c r="D9" s="17" t="inlineStr"/>
      <c r="E9" s="17" t="inlineStr"/>
      <c r="F9" s="17" t="inlineStr"/>
      <c r="G9" s="17" t="inlineStr"/>
      <c r="H9" s="17" t="inlineStr"/>
      <c r="I9" s="17" t="inlineStr"/>
      <c r="J9" s="17" t="inlineStr"/>
      <c r="K9" s="17" t="inlineStr"/>
      <c r="L9" s="17" t="inlineStr"/>
      <c r="M9" s="17" t="inlineStr"/>
      <c r="N9" s="17" t="inlineStr"/>
      <c r="O9" s="17" t="inlineStr"/>
      <c r="P9" s="17" t="inlineStr"/>
      <c r="Q9" s="17" t="inlineStr"/>
      <c r="R9" s="17" t="inlineStr"/>
      <c r="S9" s="17" t="inlineStr"/>
      <c r="T9" s="17" t="inlineStr"/>
    </row>
    <row r="10">
      <c r="A10" s="17" t="inlineStr"/>
      <c r="B10" s="17" t="inlineStr"/>
      <c r="C10" s="17" t="inlineStr"/>
      <c r="D10" s="17" t="inlineStr"/>
      <c r="E10" s="17" t="inlineStr"/>
      <c r="F10" s="17" t="inlineStr"/>
      <c r="G10" s="17" t="inlineStr"/>
      <c r="H10" s="17" t="inlineStr"/>
      <c r="I10" s="17" t="inlineStr"/>
      <c r="J10" s="17" t="inlineStr"/>
      <c r="K10" s="17" t="inlineStr"/>
      <c r="L10" s="17" t="inlineStr"/>
      <c r="M10" s="17" t="inlineStr"/>
      <c r="N10" s="17" t="inlineStr"/>
      <c r="O10" s="17" t="inlineStr"/>
      <c r="P10" s="17" t="inlineStr"/>
      <c r="Q10" s="17" t="inlineStr"/>
      <c r="R10" s="17" t="inlineStr"/>
      <c r="S10" s="17" t="inlineStr"/>
      <c r="T10" s="17" t="inlineStr"/>
    </row>
    <row r="11">
      <c r="A11" s="17" t="inlineStr"/>
      <c r="B11" s="17" t="inlineStr"/>
      <c r="C11" s="17" t="inlineStr"/>
      <c r="D11" s="17" t="inlineStr"/>
      <c r="E11" s="17" t="inlineStr"/>
      <c r="F11" s="17" t="inlineStr"/>
      <c r="G11" s="17" t="inlineStr"/>
      <c r="H11" s="17" t="inlineStr"/>
      <c r="I11" s="17" t="inlineStr"/>
      <c r="J11" s="17" t="inlineStr"/>
      <c r="K11" s="17" t="inlineStr"/>
      <c r="L11" s="17" t="inlineStr"/>
      <c r="M11" s="17" t="inlineStr"/>
      <c r="N11" s="17" t="inlineStr"/>
      <c r="O11" s="17" t="inlineStr"/>
      <c r="P11" s="17" t="inlineStr"/>
      <c r="Q11" s="17" t="inlineStr"/>
      <c r="R11" s="17" t="inlineStr"/>
      <c r="S11" s="17" t="inlineStr"/>
      <c r="T11" s="17" t="inlineStr"/>
    </row>
    <row r="12">
      <c r="A12" s="17" t="inlineStr"/>
      <c r="B12" s="17" t="inlineStr"/>
      <c r="C12" s="17" t="inlineStr"/>
      <c r="D12" s="17" t="inlineStr"/>
      <c r="E12" s="17" t="inlineStr"/>
      <c r="F12" s="17" t="inlineStr"/>
      <c r="G12" s="17" t="inlineStr"/>
      <c r="H12" s="17" t="inlineStr"/>
      <c r="I12" s="17" t="inlineStr"/>
      <c r="J12" s="17" t="inlineStr"/>
      <c r="K12" s="17" t="inlineStr"/>
      <c r="L12" s="17" t="inlineStr"/>
      <c r="M12" s="17" t="inlineStr"/>
      <c r="N12" s="17" t="inlineStr"/>
      <c r="O12" s="17" t="inlineStr"/>
      <c r="P12" s="17" t="inlineStr"/>
      <c r="Q12" s="17" t="inlineStr"/>
      <c r="R12" s="17" t="inlineStr"/>
      <c r="S12" s="17" t="inlineStr"/>
      <c r="T12" s="17" t="inlineStr"/>
    </row>
    <row r="13">
      <c r="A13" s="17" t="inlineStr"/>
      <c r="B13" s="17" t="inlineStr"/>
      <c r="C13" s="17" t="inlineStr"/>
      <c r="D13" s="17" t="inlineStr"/>
      <c r="E13" s="17" t="inlineStr"/>
      <c r="F13" s="17" t="inlineStr"/>
      <c r="G13" s="17" t="inlineStr"/>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row>
    <row r="14">
      <c r="A14" s="17" t="inlineStr"/>
      <c r="B14" s="17" t="inlineStr"/>
      <c r="C14" s="17" t="inlineStr"/>
      <c r="D14" s="17" t="inlineStr"/>
      <c r="E14" s="17" t="inlineStr"/>
      <c r="F14" s="17" t="inlineStr"/>
      <c r="G14" s="17" t="inlineStr"/>
      <c r="H14" s="17" t="inlineStr"/>
      <c r="I14" s="17" t="inlineStr"/>
      <c r="J14" s="17" t="inlineStr"/>
      <c r="K14" s="17" t="inlineStr"/>
      <c r="L14" s="17" t="inlineStr"/>
      <c r="M14" s="17" t="inlineStr"/>
      <c r="N14" s="17" t="inlineStr"/>
      <c r="O14" s="17" t="inlineStr"/>
      <c r="P14" s="17" t="inlineStr"/>
      <c r="Q14" s="17" t="inlineStr"/>
      <c r="R14" s="17" t="inlineStr"/>
      <c r="S14" s="17" t="inlineStr"/>
      <c r="T14" s="17" t="inlineStr"/>
    </row>
    <row r="15">
      <c r="A15" s="17" t="inlineStr"/>
      <c r="B15" s="17" t="inlineStr"/>
      <c r="C15" s="17" t="inlineStr"/>
      <c r="D15" s="17" t="inlineStr"/>
      <c r="E15" s="17" t="inlineStr"/>
      <c r="F15" s="17" t="inlineStr"/>
      <c r="G15" s="17" t="inlineStr"/>
      <c r="H15" s="17" t="inlineStr"/>
      <c r="I15" s="17" t="inlineStr"/>
      <c r="J15" s="17" t="inlineStr"/>
      <c r="K15" s="17" t="inlineStr"/>
      <c r="L15" s="17" t="inlineStr"/>
      <c r="M15" s="17" t="inlineStr"/>
      <c r="N15" s="17" t="inlineStr"/>
      <c r="O15" s="17" t="inlineStr"/>
      <c r="P15" s="17" t="inlineStr"/>
      <c r="Q15" s="17" t="inlineStr"/>
      <c r="R15" s="17" t="inlineStr"/>
      <c r="S15" s="17" t="inlineStr"/>
      <c r="T15" s="17" t="inlineStr"/>
    </row>
    <row r="16">
      <c r="A16" s="17" t="inlineStr"/>
      <c r="B16" s="17" t="inlineStr"/>
      <c r="C16" s="17" t="inlineStr"/>
      <c r="D16" s="17" t="inlineStr"/>
      <c r="E16" s="17" t="inlineStr"/>
      <c r="F16" s="17" t="inlineStr"/>
      <c r="G16" s="17" t="inlineStr"/>
      <c r="H16" s="17" t="inlineStr"/>
      <c r="I16" s="17" t="inlineStr"/>
      <c r="J16" s="17" t="inlineStr"/>
      <c r="K16" s="17" t="inlineStr"/>
      <c r="L16" s="17" t="inlineStr"/>
      <c r="M16" s="17" t="inlineStr"/>
      <c r="N16" s="17" t="inlineStr"/>
      <c r="O16" s="17" t="inlineStr"/>
      <c r="P16" s="17" t="inlineStr"/>
      <c r="Q16" s="17" t="inlineStr"/>
      <c r="R16" s="17" t="inlineStr"/>
      <c r="S16" s="17" t="inlineStr"/>
      <c r="T16" s="17" t="inlineStr"/>
    </row>
    <row r="17">
      <c r="A17" s="17" t="inlineStr"/>
      <c r="B17" s="17" t="inlineStr"/>
      <c r="C17" s="17" t="inlineStr"/>
      <c r="D17" s="17" t="inlineStr"/>
      <c r="E17" s="17" t="inlineStr"/>
      <c r="F17" s="17" t="inlineStr"/>
      <c r="G17" s="17" t="inlineStr"/>
      <c r="H17" s="17" t="inlineStr"/>
      <c r="I17" s="17" t="inlineStr"/>
      <c r="J17" s="17" t="inlineStr"/>
      <c r="K17" s="17" t="inlineStr"/>
      <c r="L17" s="17" t="inlineStr"/>
      <c r="M17" s="17" t="inlineStr"/>
      <c r="N17" s="17" t="inlineStr"/>
      <c r="O17" s="17" t="inlineStr"/>
      <c r="P17" s="17" t="inlineStr"/>
      <c r="Q17" s="17" t="inlineStr"/>
      <c r="R17" s="17" t="inlineStr"/>
      <c r="S17" s="17" t="inlineStr"/>
      <c r="T17" s="17" t="inlineStr"/>
    </row>
    <row r="18">
      <c r="A18" s="17" t="inlineStr"/>
      <c r="B18" s="17" t="inlineStr"/>
      <c r="C18" s="17" t="inlineStr"/>
      <c r="D18" s="17" t="inlineStr"/>
      <c r="E18" s="17" t="inlineStr"/>
      <c r="F18" s="17" t="inlineStr"/>
      <c r="G18" s="17" t="inlineStr"/>
      <c r="H18" s="17" t="inlineStr"/>
      <c r="I18" s="17" t="inlineStr"/>
      <c r="J18" s="17" t="inlineStr"/>
      <c r="K18" s="17" t="inlineStr"/>
      <c r="L18" s="17" t="inlineStr"/>
      <c r="M18" s="17" t="inlineStr"/>
      <c r="N18" s="17" t="inlineStr"/>
      <c r="O18" s="17" t="inlineStr"/>
      <c r="P18" s="17" t="inlineStr"/>
      <c r="Q18" s="17" t="inlineStr"/>
      <c r="R18" s="17" t="inlineStr"/>
      <c r="S18" s="17" t="inlineStr"/>
      <c r="T18" s="17" t="inlineStr"/>
    </row>
    <row r="19">
      <c r="A19" s="17" t="inlineStr"/>
      <c r="B19" s="17" t="inlineStr"/>
      <c r="C19" s="17" t="inlineStr"/>
      <c r="D19" s="17" t="inlineStr"/>
      <c r="E19" s="17" t="inlineStr"/>
      <c r="F19" s="17" t="inlineStr"/>
      <c r="G19" s="17" t="inlineStr"/>
      <c r="H19" s="17" t="inlineStr"/>
      <c r="I19" s="17" t="inlineStr"/>
      <c r="J19" s="17" t="inlineStr"/>
      <c r="K19" s="17" t="inlineStr"/>
      <c r="L19" s="17" t="inlineStr"/>
      <c r="M19" s="17" t="inlineStr"/>
      <c r="N19" s="17" t="inlineStr"/>
      <c r="O19" s="17" t="inlineStr"/>
      <c r="P19" s="17" t="inlineStr"/>
      <c r="Q19" s="17" t="inlineStr"/>
      <c r="R19" s="17" t="inlineStr"/>
      <c r="S19" s="17" t="inlineStr"/>
      <c r="T19" s="17" t="inlineStr"/>
    </row>
    <row r="20">
      <c r="A20" s="17" t="inlineStr"/>
      <c r="B20" s="17" t="inlineStr"/>
      <c r="C20" s="17" t="inlineStr"/>
      <c r="D20" s="17" t="inlineStr"/>
      <c r="E20" s="17" t="inlineStr"/>
      <c r="F20" s="17" t="inlineStr"/>
      <c r="G20" s="17" t="inlineStr"/>
      <c r="H20" s="17" t="inlineStr"/>
      <c r="I20" s="17" t="inlineStr"/>
      <c r="J20" s="17" t="inlineStr"/>
      <c r="K20" s="17" t="inlineStr"/>
      <c r="L20" s="17" t="inlineStr"/>
      <c r="M20" s="17" t="inlineStr"/>
      <c r="N20" s="17" t="inlineStr"/>
      <c r="O20" s="17" t="inlineStr"/>
      <c r="P20" s="17" t="inlineStr"/>
      <c r="Q20" s="17" t="inlineStr"/>
      <c r="R20" s="17" t="inlineStr"/>
      <c r="S20" s="17" t="inlineStr"/>
      <c r="T20" s="17" t="inlineStr"/>
    </row>
    <row r="21">
      <c r="A21" s="17" t="inlineStr"/>
      <c r="B21" s="17" t="inlineStr"/>
      <c r="C21" s="17" t="inlineStr"/>
      <c r="D21" s="17" t="inlineStr"/>
      <c r="E21" s="17" t="inlineStr"/>
      <c r="F21" s="17" t="inlineStr"/>
      <c r="G21" s="17" t="inlineStr"/>
      <c r="H21" s="17" t="inlineStr"/>
      <c r="I21" s="17" t="inlineStr"/>
      <c r="J21" s="17" t="inlineStr"/>
      <c r="K21" s="17" t="inlineStr"/>
      <c r="L21" s="17" t="inlineStr"/>
      <c r="M21" s="17" t="inlineStr"/>
      <c r="N21" s="17" t="inlineStr"/>
      <c r="O21" s="17" t="inlineStr"/>
      <c r="P21" s="17" t="inlineStr"/>
      <c r="Q21" s="17" t="inlineStr"/>
      <c r="R21" s="17" t="inlineStr"/>
      <c r="S21" s="17" t="inlineStr"/>
      <c r="T21" s="17" t="inlineStr"/>
    </row>
    <row r="22">
      <c r="A22" s="17" t="inlineStr"/>
      <c r="B22" s="17" t="inlineStr"/>
      <c r="C22" s="17" t="inlineStr"/>
      <c r="D22" s="17" t="inlineStr"/>
      <c r="E22" s="17" t="inlineStr"/>
      <c r="F22" s="17" t="inlineStr"/>
      <c r="G22" s="17" t="inlineStr"/>
      <c r="H22" s="17" t="inlineStr"/>
      <c r="I22" s="17" t="inlineStr"/>
      <c r="J22" s="17" t="inlineStr"/>
      <c r="K22" s="17" t="inlineStr"/>
      <c r="L22" s="17" t="inlineStr"/>
      <c r="M22" s="17" t="inlineStr"/>
      <c r="N22" s="17" t="inlineStr"/>
      <c r="O22" s="17" t="inlineStr"/>
      <c r="P22" s="17" t="inlineStr"/>
      <c r="Q22" s="17" t="inlineStr"/>
      <c r="R22" s="17" t="inlineStr"/>
      <c r="S22" s="17" t="inlineStr"/>
      <c r="T22" s="17" t="inlineStr"/>
    </row>
    <row r="23">
      <c r="A23" s="17" t="inlineStr"/>
      <c r="B23" s="17" t="inlineStr"/>
      <c r="C23" s="17" t="inlineStr"/>
      <c r="D23" s="17" t="inlineStr"/>
      <c r="E23" s="17" t="inlineStr"/>
      <c r="F23" s="17" t="inlineStr"/>
      <c r="G23" s="17" t="inlineStr"/>
      <c r="H23" s="17" t="inlineStr"/>
      <c r="I23" s="17" t="inlineStr"/>
      <c r="J23" s="17" t="inlineStr"/>
      <c r="K23" s="17" t="inlineStr"/>
      <c r="L23" s="17" t="inlineStr"/>
      <c r="M23" s="17" t="inlineStr"/>
      <c r="N23" s="17" t="inlineStr"/>
      <c r="O23" s="17" t="inlineStr"/>
      <c r="P23" s="17" t="inlineStr"/>
      <c r="Q23" s="17" t="inlineStr"/>
      <c r="R23" s="17" t="inlineStr"/>
      <c r="S23" s="17" t="inlineStr"/>
      <c r="T23" s="17" t="inlineStr"/>
    </row>
    <row r="24">
      <c r="A24" s="17" t="inlineStr"/>
      <c r="B24" s="17" t="inlineStr"/>
      <c r="C24" s="17" t="inlineStr"/>
      <c r="D24" s="17" t="inlineStr"/>
      <c r="E24" s="17" t="inlineStr"/>
      <c r="F24" s="17" t="inlineStr"/>
      <c r="G24" s="17" t="inlineStr"/>
      <c r="H24" s="17" t="inlineStr"/>
      <c r="I24" s="17" t="inlineStr"/>
      <c r="J24" s="17" t="inlineStr"/>
      <c r="K24" s="17" t="inlineStr"/>
      <c r="L24" s="17" t="inlineStr"/>
      <c r="M24" s="17" t="inlineStr"/>
      <c r="N24" s="17" t="inlineStr"/>
      <c r="O24" s="17" t="inlineStr"/>
      <c r="P24" s="17" t="inlineStr"/>
      <c r="Q24" s="17" t="inlineStr"/>
      <c r="R24" s="17" t="inlineStr"/>
      <c r="S24" s="17" t="inlineStr"/>
      <c r="T24" s="17" t="inlineStr"/>
    </row>
    <row r="25">
      <c r="A25" s="17" t="inlineStr"/>
      <c r="B25" s="17" t="inlineStr"/>
      <c r="C25" s="17" t="inlineStr"/>
      <c r="D25" s="17" t="inlineStr"/>
      <c r="E25" s="17" t="inlineStr"/>
      <c r="F25" s="17" t="inlineStr"/>
      <c r="G25" s="17" t="inlineStr"/>
      <c r="H25" s="17" t="inlineStr"/>
      <c r="I25" s="17" t="inlineStr"/>
      <c r="J25" s="17" t="inlineStr"/>
      <c r="K25" s="17" t="inlineStr"/>
      <c r="L25" s="17" t="inlineStr"/>
      <c r="M25" s="17" t="inlineStr"/>
      <c r="N25" s="17" t="inlineStr"/>
      <c r="O25" s="17" t="inlineStr"/>
      <c r="P25" s="17" t="inlineStr"/>
      <c r="Q25" s="17" t="inlineStr"/>
      <c r="R25" s="17" t="inlineStr"/>
      <c r="S25" s="17" t="inlineStr"/>
      <c r="T25" s="17" t="inlineStr"/>
    </row>
    <row r="26">
      <c r="A26" s="17" t="inlineStr"/>
      <c r="B26" s="17" t="inlineStr"/>
      <c r="C26" s="17" t="inlineStr"/>
      <c r="D26" s="17" t="inlineStr"/>
      <c r="E26" s="17" t="inlineStr"/>
      <c r="F26" s="17" t="inlineStr"/>
      <c r="G26" s="17" t="inlineStr"/>
      <c r="H26" s="17" t="inlineStr"/>
      <c r="I26" s="17" t="inlineStr"/>
      <c r="J26" s="17" t="inlineStr"/>
      <c r="K26" s="17" t="inlineStr"/>
      <c r="L26" s="17" t="inlineStr"/>
      <c r="M26" s="17" t="inlineStr"/>
      <c r="N26" s="17" t="inlineStr"/>
      <c r="O26" s="17" t="inlineStr"/>
      <c r="P26" s="17" t="inlineStr"/>
      <c r="Q26" s="17" t="inlineStr"/>
      <c r="R26" s="17" t="inlineStr"/>
      <c r="S26" s="17" t="inlineStr"/>
      <c r="T26" s="17" t="inlineStr"/>
    </row>
    <row r="27">
      <c r="A27" s="17" t="inlineStr"/>
      <c r="B27" s="17" t="inlineStr"/>
      <c r="C27" s="17" t="inlineStr"/>
      <c r="D27" s="17" t="inlineStr"/>
      <c r="E27" s="17" t="inlineStr"/>
      <c r="F27" s="17" t="inlineStr"/>
      <c r="G27" s="17" t="inlineStr"/>
      <c r="H27" s="17" t="inlineStr"/>
      <c r="I27" s="17" t="inlineStr"/>
      <c r="J27" s="17" t="inlineStr"/>
      <c r="K27" s="17" t="inlineStr"/>
      <c r="L27" s="17" t="inlineStr"/>
      <c r="M27" s="17" t="inlineStr"/>
      <c r="N27" s="17" t="inlineStr"/>
      <c r="O27" s="17" t="inlineStr"/>
      <c r="P27" s="17" t="inlineStr"/>
      <c r="Q27" s="17" t="inlineStr"/>
      <c r="R27" s="17" t="inlineStr"/>
      <c r="S27" s="17" t="inlineStr"/>
      <c r="T27" s="17" t="inlineStr"/>
    </row>
    <row r="28">
      <c r="A28" s="17" t="inlineStr"/>
      <c r="B28" s="17" t="inlineStr"/>
      <c r="C28" s="17" t="inlineStr"/>
      <c r="D28" s="17" t="inlineStr"/>
      <c r="E28" s="17" t="inlineStr"/>
      <c r="F28" s="17" t="inlineStr"/>
      <c r="G28" s="17" t="inlineStr"/>
      <c r="H28" s="17" t="inlineStr"/>
      <c r="I28" s="17" t="inlineStr"/>
      <c r="J28" s="17" t="inlineStr"/>
      <c r="K28" s="17" t="inlineStr"/>
      <c r="L28" s="17" t="inlineStr"/>
      <c r="M28" s="17" t="inlineStr"/>
      <c r="N28" s="17" t="inlineStr"/>
      <c r="O28" s="17" t="inlineStr"/>
      <c r="P28" s="17" t="inlineStr"/>
      <c r="Q28" s="17" t="inlineStr"/>
      <c r="R28" s="17" t="inlineStr"/>
      <c r="S28" s="17" t="inlineStr"/>
      <c r="T28" s="17" t="inlineStr"/>
    </row>
    <row r="29">
      <c r="A29" s="17" t="inlineStr"/>
      <c r="B29" s="17" t="inlineStr"/>
      <c r="C29" s="17" t="inlineStr"/>
      <c r="D29" s="17" t="inlineStr"/>
      <c r="E29" s="17" t="inlineStr"/>
      <c r="F29" s="17" t="inlineStr"/>
      <c r="G29" s="17" t="inlineStr"/>
      <c r="H29" s="17" t="inlineStr"/>
      <c r="I29" s="17" t="inlineStr"/>
      <c r="J29" s="17" t="inlineStr"/>
      <c r="K29" s="17" t="inlineStr"/>
      <c r="L29" s="17" t="inlineStr"/>
      <c r="M29" s="17" t="inlineStr"/>
      <c r="N29" s="17" t="inlineStr"/>
      <c r="O29" s="17" t="inlineStr"/>
      <c r="P29" s="17" t="inlineStr"/>
      <c r="Q29" s="17" t="inlineStr"/>
      <c r="R29" s="17" t="inlineStr"/>
      <c r="S29" s="17" t="inlineStr"/>
      <c r="T29" s="17" t="inlineStr"/>
    </row>
    <row r="30">
      <c r="A30" s="17" t="inlineStr"/>
      <c r="B30" s="17" t="inlineStr"/>
      <c r="C30" s="17" t="inlineStr"/>
      <c r="D30" s="17" t="inlineStr"/>
      <c r="E30" s="17" t="inlineStr"/>
      <c r="F30" s="17" t="inlineStr"/>
      <c r="G30" s="17" t="inlineStr"/>
      <c r="H30" s="17" t="inlineStr"/>
      <c r="I30" s="17" t="inlineStr"/>
      <c r="J30" s="17" t="inlineStr"/>
      <c r="K30" s="17" t="inlineStr"/>
      <c r="L30" s="17" t="inlineStr"/>
      <c r="M30" s="17" t="inlineStr"/>
      <c r="N30" s="17" t="inlineStr"/>
      <c r="O30" s="17" t="inlineStr"/>
      <c r="P30" s="17" t="inlineStr"/>
      <c r="Q30" s="17" t="inlineStr"/>
      <c r="R30" s="17" t="inlineStr"/>
      <c r="S30" s="17" t="inlineStr"/>
      <c r="T30" s="17" t="inlineStr"/>
    </row>
    <row r="31">
      <c r="A31" s="17" t="inlineStr"/>
      <c r="B31" s="17" t="inlineStr"/>
      <c r="C31" s="17" t="inlineStr"/>
      <c r="D31" s="17" t="inlineStr"/>
      <c r="E31" s="17" t="inlineStr"/>
      <c r="F31" s="17" t="inlineStr"/>
      <c r="G31" s="17" t="inlineStr"/>
      <c r="H31" s="17" t="inlineStr"/>
      <c r="I31" s="17" t="inlineStr"/>
      <c r="J31" s="17" t="inlineStr"/>
      <c r="K31" s="17" t="inlineStr"/>
      <c r="L31" s="17" t="inlineStr"/>
      <c r="M31" s="17" t="inlineStr"/>
      <c r="N31" s="17" t="inlineStr"/>
      <c r="O31" s="17" t="inlineStr"/>
      <c r="P31" s="17" t="inlineStr"/>
      <c r="Q31" s="17" t="inlineStr"/>
      <c r="R31" s="17" t="inlineStr"/>
      <c r="S31" s="17" t="inlineStr"/>
      <c r="T31" s="17" t="inlineStr"/>
    </row>
    <row r="32">
      <c r="A32" s="17" t="inlineStr"/>
      <c r="B32" s="17" t="inlineStr"/>
      <c r="C32" s="17" t="inlineStr"/>
      <c r="D32" s="17" t="inlineStr"/>
      <c r="E32" s="17" t="inlineStr"/>
      <c r="F32" s="17" t="inlineStr"/>
      <c r="G32" s="17" t="inlineStr"/>
      <c r="H32" s="17" t="inlineStr"/>
      <c r="I32" s="17" t="inlineStr"/>
      <c r="J32" s="17" t="inlineStr"/>
      <c r="K32" s="17" t="inlineStr"/>
      <c r="L32" s="17" t="inlineStr"/>
      <c r="M32" s="17" t="inlineStr"/>
      <c r="N32" s="17" t="inlineStr"/>
      <c r="O32" s="17" t="inlineStr"/>
      <c r="P32" s="17" t="inlineStr"/>
      <c r="Q32" s="17" t="inlineStr"/>
      <c r="R32" s="17" t="inlineStr"/>
      <c r="S32" s="17" t="inlineStr"/>
      <c r="T32" s="17" t="inlineStr"/>
    </row>
    <row r="33">
      <c r="A33" s="17" t="inlineStr"/>
      <c r="B33" s="17" t="inlineStr"/>
      <c r="C33" s="17" t="inlineStr"/>
      <c r="D33" s="17" t="inlineStr"/>
      <c r="E33" s="17" t="inlineStr"/>
      <c r="F33" s="17" t="inlineStr"/>
      <c r="G33" s="17" t="inlineStr"/>
      <c r="H33" s="17" t="inlineStr"/>
      <c r="I33" s="17" t="inlineStr"/>
      <c r="J33" s="17" t="inlineStr"/>
      <c r="K33" s="17" t="inlineStr"/>
      <c r="L33" s="17" t="inlineStr"/>
      <c r="M33" s="17" t="inlineStr"/>
      <c r="N33" s="17" t="inlineStr"/>
      <c r="O33" s="17" t="inlineStr"/>
      <c r="P33" s="17" t="inlineStr"/>
      <c r="Q33" s="17" t="inlineStr"/>
      <c r="R33" s="17" t="inlineStr"/>
      <c r="S33" s="17" t="inlineStr"/>
      <c r="T33" s="17" t="inlineStr"/>
    </row>
    <row r="34">
      <c r="A34" s="17" t="inlineStr"/>
      <c r="B34" s="17" t="inlineStr"/>
      <c r="C34" s="17" t="inlineStr"/>
      <c r="D34" s="17" t="inlineStr"/>
      <c r="E34" s="17" t="inlineStr"/>
      <c r="F34" s="17" t="inlineStr"/>
      <c r="G34" s="17" t="inlineStr"/>
      <c r="H34" s="17" t="inlineStr"/>
      <c r="I34" s="17" t="inlineStr"/>
      <c r="J34" s="17" t="inlineStr"/>
      <c r="K34" s="17" t="inlineStr"/>
      <c r="L34" s="17" t="inlineStr"/>
      <c r="M34" s="17" t="inlineStr"/>
      <c r="N34" s="17" t="inlineStr"/>
      <c r="O34" s="17" t="inlineStr"/>
      <c r="P34" s="17" t="inlineStr"/>
      <c r="Q34" s="17" t="inlineStr"/>
      <c r="R34" s="17" t="inlineStr"/>
      <c r="S34" s="17" t="inlineStr"/>
      <c r="T34" s="17" t="inlineStr"/>
    </row>
  </sheetData>
  <mergeCells count="2">
    <mergeCell ref="A1:T1"/>
    <mergeCell ref="A2:T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8" customWidth="1" min="1" max="1"/>
    <col width="24" customWidth="1" min="2" max="2"/>
    <col width="50" customWidth="1" min="3" max="3"/>
    <col width="60" customWidth="1" min="4" max="4"/>
  </cols>
  <sheetData>
    <row r="1">
      <c r="A1" s="1" t="inlineStr">
        <is>
          <t>Assumptions and Manual Tracking</t>
        </is>
      </c>
    </row>
    <row r="2">
      <c r="A2" s="26" t="inlineStr">
        <is>
          <t>All economic inputs used in this workbook. Changing any of these requires re-running the examples.</t>
        </is>
      </c>
    </row>
    <row r="4">
      <c r="A4" s="6" t="inlineStr">
        <is>
          <t>Assumption</t>
        </is>
      </c>
      <c r="B4" s="6" t="inlineStr">
        <is>
          <t>Value</t>
        </is>
      </c>
      <c r="C4" s="6" t="inlineStr">
        <is>
          <t>Meaning</t>
        </is>
      </c>
      <c r="D4" s="6" t="inlineStr">
        <is>
          <t>Source / Note</t>
        </is>
      </c>
    </row>
    <row r="5" ht="26" customHeight="1">
      <c r="A5" s="17" t="inlineStr">
        <is>
          <t>Royalty rate</t>
        </is>
      </c>
      <c r="B5" s="17" t="inlineStr">
        <is>
          <t>21%</t>
        </is>
      </c>
      <c r="C5" s="17" t="inlineStr">
        <is>
          <t>Franchise royalty removed before safe net.</t>
        </is>
      </c>
      <c r="D5" s="17" t="inlineStr">
        <is>
          <t>Standard Fiesta franchise royalty.</t>
        </is>
      </c>
    </row>
    <row r="6" ht="26" customHeight="1">
      <c r="A6" s="29" t="inlineStr">
        <is>
          <t>Overhead reserve</t>
        </is>
      </c>
      <c r="B6" s="29" t="inlineStr">
        <is>
          <t>30%</t>
        </is>
      </c>
      <c r="C6" s="29" t="inlineStr">
        <is>
          <t>Rent, tech, admin, bank fees (NOT salaries).</t>
        </is>
      </c>
      <c r="D6" s="29" t="inlineStr">
        <is>
          <t>Lowered from 40% because salaries are now tracked via the minimum requirement.</t>
        </is>
      </c>
    </row>
    <row r="7" ht="26" customHeight="1">
      <c r="A7" s="17" t="inlineStr">
        <is>
          <t>Agent salary (basis for minimum)</t>
        </is>
      </c>
      <c r="B7" s="17" t="inlineStr">
        <is>
          <t>$3,300/mo midpoint</t>
        </is>
      </c>
      <c r="C7" s="17" t="inlineStr">
        <is>
          <t>$16-$22/hour x 40 hours/week = $2,773-$3,813/mo.</t>
        </is>
      </c>
      <c r="D7" s="17" t="inlineStr">
        <is>
          <t>Florida P&amp;C agent baseline.</t>
        </is>
      </c>
    </row>
    <row r="8" ht="26" customHeight="1">
      <c r="A8" s="29" t="inlineStr">
        <is>
          <t>Blended carrier commission</t>
        </is>
      </c>
      <c r="B8" s="29" t="inlineStr">
        <is>
          <t>11%</t>
        </is>
      </c>
      <c r="C8" s="29" t="inlineStr">
        <is>
          <t>Used for the safe-net calculation.</t>
        </is>
      </c>
      <c r="D8" s="29" t="inlineStr">
        <is>
          <t>Range 8% (Bristol West) to 15% (Geico/Kemper). 11% is the book-weighted blend.</t>
        </is>
      </c>
    </row>
    <row r="9" ht="26" customHeight="1">
      <c r="A9" s="17" t="inlineStr">
        <is>
          <t>Commission model</t>
        </is>
      </c>
      <c r="B9" s="17" t="inlineStr">
        <is>
          <t>Advance + chargeback OR as-earned</t>
        </is>
      </c>
      <c r="C9" s="17" t="inlineStr">
        <is>
          <t>Most carriers advance on written, charge back if unpaid. Net = collected x rate.</t>
        </is>
      </c>
      <c r="D9" s="17" t="inlineStr">
        <is>
          <t>Some carriers (e.g., some MGAs) pay as-earned on collected.</t>
        </is>
      </c>
    </row>
    <row r="10" ht="26" customHeight="1">
      <c r="A10" s="29" t="inlineStr">
        <is>
          <t>Bonus paid</t>
        </is>
      </c>
      <c r="B10" s="29" t="inlineStr">
        <is>
          <t>TARGET (no automatic cap)</t>
        </is>
      </c>
      <c r="C10" s="29" t="inlineStr">
        <is>
          <t>Pay equals the calculated target. Soft review threshold only.</t>
        </is>
      </c>
      <c r="D10" s="29" t="inlineStr">
        <is>
          <t>Same for A and B.</t>
        </is>
      </c>
    </row>
    <row r="11" ht="26" customHeight="1">
      <c r="A11" s="17" t="inlineStr">
        <is>
          <t>Review threshold (standard)</t>
        </is>
      </c>
      <c r="B11" s="17" t="inlineStr">
        <is>
          <t>40% of safe net</t>
        </is>
      </c>
      <c r="C11" s="17" t="inlineStr">
        <is>
          <t>If monthly target &gt; 40% safe net, ownership reviews.</t>
        </is>
      </c>
      <c r="D11" s="17" t="inlineStr">
        <is>
          <t>Most months stay below.</t>
        </is>
      </c>
    </row>
    <row r="12" ht="26" customHeight="1">
      <c r="A12" s="29" t="inlineStr">
        <is>
          <t>Review threshold (PIF)</t>
        </is>
      </c>
      <c r="B12" s="29" t="inlineStr">
        <is>
          <t>55% of safe net</t>
        </is>
      </c>
      <c r="C12" s="29" t="inlineStr">
        <is>
          <t>Higher because PIF has no chargeback risk.</t>
        </is>
      </c>
      <c r="D12" s="29" t="inlineStr">
        <is>
          <t>-</t>
        </is>
      </c>
    </row>
    <row r="13" ht="26" customHeight="1">
      <c r="A13" s="17" t="inlineStr">
        <is>
          <t>Chargeback period (PRIMARY PROTECTION)</t>
        </is>
      </c>
      <c r="B13" s="17" t="inlineStr">
        <is>
          <t>90 days</t>
        </is>
      </c>
      <c r="C13" s="17" t="inlineStr">
        <is>
          <t>Cancel/rewrite reversal window. The actual profit shield.</t>
        </is>
      </c>
      <c r="D13" s="17" t="inlineStr">
        <is>
          <t>Matches carrier commission chargeback exposure.</t>
        </is>
      </c>
    </row>
    <row r="14" ht="26" customHeight="1">
      <c r="A14" s="29" t="inlineStr">
        <is>
          <t>Proposal A NB tiers</t>
        </is>
      </c>
      <c r="B14" s="29" t="inlineStr">
        <is>
          <t>$6 / $8 / $11 / $13 / $13+$2/$1k cap $28</t>
        </is>
      </c>
      <c r="C14" s="29" t="inlineStr">
        <is>
          <t>NB pay by written premium tier.</t>
        </is>
      </c>
      <c r="D14" s="29" t="inlineStr">
        <is>
          <t>Calibrated so 100% FLIP pays ~86% of today current.</t>
        </is>
      </c>
    </row>
    <row r="15" ht="26" customHeight="1">
      <c r="A15" s="17" t="inlineStr">
        <is>
          <t>Proposal A REN tiers</t>
        </is>
      </c>
      <c r="B15" s="17" t="inlineStr">
        <is>
          <t>$5 / $6 / $7</t>
        </is>
      </c>
      <c r="C15" s="17" t="inlineStr">
        <is>
          <t>REN pay by written premium.</t>
        </is>
      </c>
      <c r="D15" s="17" t="inlineStr">
        <is>
          <t>-</t>
        </is>
      </c>
    </row>
    <row r="16" ht="26" customHeight="1">
      <c r="A16" s="29" t="inlineStr">
        <is>
          <t>Proposal A RWR</t>
        </is>
      </c>
      <c r="B16" s="29" t="inlineStr">
        <is>
          <t>$2 flat</t>
        </is>
      </c>
      <c r="C16" s="29" t="inlineStr">
        <is>
          <t>No tiers, no kicker stacking.</t>
        </is>
      </c>
      <c r="D16" s="29" t="inlineStr">
        <is>
          <t>Same as Proposal B.</t>
        </is>
      </c>
    </row>
    <row r="17" ht="26" customHeight="1">
      <c r="A17" s="17" t="inlineStr">
        <is>
          <t>Proposal B NB base</t>
        </is>
      </c>
      <c r="B17" s="17" t="inlineStr">
        <is>
          <t>$11 per policy</t>
        </is>
      </c>
      <c r="C17" s="17" t="inlineStr">
        <is>
          <t>PIP/PD or PIP+Comp/Coll.</t>
        </is>
      </c>
      <c r="D17" s="17" t="inlineStr">
        <is>
          <t>See Coverage Bundle Logic.</t>
        </is>
      </c>
    </row>
    <row r="18" ht="26" customHeight="1">
      <c r="A18" s="29" t="inlineStr">
        <is>
          <t>Proposal B NB liability add</t>
        </is>
      </c>
      <c r="B18" s="29" t="inlineStr">
        <is>
          <t>+$6 per policy with BI+UM</t>
        </is>
      </c>
      <c r="C18" s="29" t="inlineStr">
        <is>
          <t>Bundled - UM cannot exist without BI.</t>
        </is>
      </c>
      <c r="D18" s="29" t="inlineStr">
        <is>
          <t>BI alone does not qualify.</t>
        </is>
      </c>
    </row>
    <row r="19" ht="26" customHeight="1">
      <c r="A19" s="17" t="inlineStr">
        <is>
          <t>Proposal B REN base</t>
        </is>
      </c>
      <c r="B19" s="17" t="inlineStr">
        <is>
          <t>$7 per policy</t>
        </is>
      </c>
      <c r="C19" s="17" t="inlineStr">
        <is>
          <t>Renewal base.</t>
        </is>
      </c>
      <c r="D19" s="17" t="inlineStr">
        <is>
          <t>-</t>
        </is>
      </c>
    </row>
    <row r="20" ht="26" customHeight="1">
      <c r="A20" s="29" t="inlineStr">
        <is>
          <t>Proposal B REN liability add</t>
        </is>
      </c>
      <c r="B20" s="29" t="inlineStr">
        <is>
          <t>+$3 per policy with BI+UM</t>
        </is>
      </c>
      <c r="C20" s="29" t="inlineStr">
        <is>
          <t>Same bundle logic on REN.</t>
        </is>
      </c>
      <c r="D20" s="29" t="inlineStr">
        <is>
          <t>-</t>
        </is>
      </c>
    </row>
    <row r="21" ht="26" customHeight="1">
      <c r="A21" s="17" t="inlineStr">
        <is>
          <t>PIF add-ons</t>
        </is>
      </c>
      <c r="B21" s="17" t="inlineStr">
        <is>
          <t>+$9 NB / +$13 high NB / +$5 REN</t>
        </is>
      </c>
      <c r="C21" s="17" t="inlineStr">
        <is>
          <t>On both Plan A and Plan B.</t>
        </is>
      </c>
      <c r="D21" s="17" t="inlineStr">
        <is>
          <t>Top of all add-ons.</t>
        </is>
      </c>
    </row>
    <row r="22" ht="26" customHeight="1">
      <c r="A22" s="29" t="inlineStr">
        <is>
          <t>Collected kicker tiers</t>
        </is>
      </c>
      <c r="B22" s="29" t="inlineStr">
        <is>
          <t>15-24% / 25-49% / 50-99% / 100%</t>
        </is>
      </c>
      <c r="C22" s="29" t="inlineStr">
        <is>
          <t>+10% / +15% / +20% / +25%</t>
        </is>
      </c>
      <c r="D22" s="29" t="inlineStr">
        <is>
          <t>Same A and B.</t>
        </is>
      </c>
    </row>
    <row r="23" ht="26" customHeight="1">
      <c r="A23" s="17" t="inlineStr">
        <is>
          <t>Liability adoption (NB)</t>
        </is>
      </c>
      <c r="B23" s="17" t="inlineStr">
        <is>
          <t>35% of NB</t>
        </is>
      </c>
      <c r="C23" s="17" t="inlineStr">
        <is>
          <t>Estimated share of NB policies that carry BI+UM.</t>
        </is>
      </c>
      <c r="D23" s="17" t="inlineStr">
        <is>
          <t>For aggregate modeling. Actual bonus paid per verified policy.</t>
        </is>
      </c>
    </row>
    <row r="24" ht="26" customHeight="1">
      <c r="A24" s="29" t="inlineStr">
        <is>
          <t>Liability adoption (REN)</t>
        </is>
      </c>
      <c r="B24" s="29" t="inlineStr">
        <is>
          <t>30% of REN</t>
        </is>
      </c>
      <c r="C24" s="29" t="inlineStr">
        <is>
          <t>Estimated share of REN policies that carry BI+UM.</t>
        </is>
      </c>
      <c r="D24" s="29" t="inlineStr">
        <is>
          <t>Same as above.</t>
        </is>
      </c>
    </row>
    <row r="25" ht="26" customHeight="1">
      <c r="A25" s="17" t="inlineStr">
        <is>
          <t>NB minimum</t>
        </is>
      </c>
      <c r="B25" s="17" t="inlineStr">
        <is>
          <t>$45,000/mo written premium</t>
        </is>
      </c>
      <c r="C25" s="17" t="inlineStr">
        <is>
          <t>Agent must write at least this in NB to earn NB bonus.</t>
        </is>
      </c>
      <c r="D25" s="17" t="inlineStr">
        <is>
          <t>38% of REAL agent-months pass this gate.</t>
        </is>
      </c>
    </row>
    <row r="26" ht="26" customHeight="1">
      <c r="A26" s="29" t="inlineStr">
        <is>
          <t>REN minimum</t>
        </is>
      </c>
      <c r="B26" s="29" t="inlineStr">
        <is>
          <t>$0/mo written premium</t>
        </is>
      </c>
      <c r="C26" s="29" t="inlineStr">
        <is>
          <t>Agent must keep at least this in REN to earn REN bonus.</t>
        </is>
      </c>
      <c r="D26" s="29" t="inlineStr">
        <is>
          <t>0% REAL / 75% SWAP pass this gate.</t>
        </is>
      </c>
    </row>
    <row r="27" ht="26" customHeight="1">
      <c r="A27" s="17" t="inlineStr">
        <is>
          <t>RWR gate</t>
        </is>
      </c>
      <c r="B27" s="17" t="inlineStr">
        <is>
          <t>NB AND REN minimums both met</t>
        </is>
      </c>
      <c r="C27" s="17" t="inlineStr">
        <is>
          <t>RWR bonus only pays when both NB and REN gates pass.</t>
        </is>
      </c>
      <c r="D27" s="17" t="inlineStr">
        <is>
          <t>No separate RWR minimum.</t>
        </is>
      </c>
    </row>
    <row r="28" ht="26" customHeight="1">
      <c r="A28" s="29" t="inlineStr">
        <is>
          <t>Source data</t>
        </is>
      </c>
      <c r="B28" s="29" t="inlineStr">
        <is>
          <t>agents_nbrwr_pivots_good_.xlsx</t>
        </is>
      </c>
      <c r="C28" s="29" t="inlineStr">
        <is>
          <t>NB / RWR / REN counts and premiums for Jan-Apr 2026.</t>
        </is>
      </c>
      <c r="D28" s="29" t="inlineStr">
        <is>
          <t>6 agents: Abel, Dialinerys, Melissa, Flavia, Thalia, Monica.</t>
        </is>
      </c>
    </row>
    <row r="29" ht="26" customHeight="1">
      <c r="A29" s="17" t="inlineStr">
        <is>
          <t>50% Swap scenario</t>
        </is>
      </c>
      <c r="B29" s="17" t="inlineStr">
        <is>
          <t>50% RWR to REN</t>
        </is>
      </c>
      <c r="C29" s="17" t="inlineStr">
        <is>
          <t>Half of rewrites reclassified as renewals.</t>
        </is>
      </c>
      <c r="D29" s="17" t="inlineStr">
        <is>
          <t>Premium and collected $ stay the same.</t>
        </is>
      </c>
    </row>
    <row r="30" ht="26" customHeight="1">
      <c r="A30" s="29" t="inlineStr">
        <is>
          <t>100% Flip scenario</t>
        </is>
      </c>
      <c r="B30" s="29" t="inlineStr">
        <is>
          <t>RWR &lt;-&gt; REN</t>
        </is>
      </c>
      <c r="C30" s="29" t="inlineStr">
        <is>
          <t>Rewrites and renewals fully swapped - "if you had been renewing all along".</t>
        </is>
      </c>
      <c r="D30" s="29" t="inlineStr">
        <is>
          <t>The strongest behavior-change test.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2026-05-22T18:13:12Z</dcterms:created>
  <dcterms:modified xmlns:dcterms="http://purl.org/dc/terms/" xmlns:xsi="http://www.w3.org/2001/XMLSchema-instance" xsi:type="dcterms:W3CDTF">2026-05-22T18:13:12Z</dcterms:modified>
</cp:coreProperties>
</file>