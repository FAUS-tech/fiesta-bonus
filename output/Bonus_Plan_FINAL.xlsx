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2">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1"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t>
        </is>
      </c>
    </row>
    <row r="5" ht="30" customHeight="1">
      <c r="A5" s="2" t="inlineStr">
        <is>
          <t>Bottom line (4-month total, 6 agents)</t>
        </is>
      </c>
      <c r="B5" s="3" t="inlineStr">
        <is>
          <t>TODAY: $12,220 paid out under current plan. NEW PLAN with $45k NB / 30% retention minimums: $2,419 today (less, because agents still rewriting heavily), $4,725 if half the rewrites become renewals, $6,475 if all rewrites had been renewals. The new plan pays LESS when agents do the WRONG behavior and rewards the SHIFT to renewing.</t>
        </is>
      </c>
    </row>
    <row r="6" ht="30" customHeight="1">
      <c r="A6" s="2" t="inlineStr">
        <is>
          <t>Recommendation</t>
        </is>
      </c>
      <c r="B6" s="3" t="inlineStr">
        <is>
          <t>Adopt the new plan with $45,000 NB monthly minimum + 30% retention minimum. Pilot 90 days side-by-side with the current plan, pay agents the HIGHER of the two during the pilot.</t>
        </is>
      </c>
    </row>
    <row r="7" ht="30" customHeight="1">
      <c r="A7" s="2" t="inlineStr">
        <is>
          <t>How to read the rest</t>
        </is>
      </c>
      <c r="B7" s="3" t="inlineStr">
        <is>
          <t>Start with Executive Summary -&gt; The Bonus Plan -&gt; Agent Examples. Use Glossary below to look up terms (NB, RWR, REN,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Written premium</t>
        </is>
      </c>
      <c r="B14" s="3" t="inlineStr">
        <is>
          <t>The total cost of the policy for the 6-month term.</t>
        </is>
      </c>
    </row>
    <row r="15" ht="30" customHeight="1">
      <c r="A15" s="2" t="inlineStr">
        <is>
          <t>Collected %</t>
        </is>
      </c>
      <c r="B15" s="3" t="inlineStr">
        <is>
          <t>The % of total premium the customer actually paid. Down payment / total = collected %.</t>
        </is>
      </c>
    </row>
    <row r="16" ht="30" customHeight="1">
      <c r="A16" s="2" t="inlineStr">
        <is>
          <t>Safe Net</t>
        </is>
      </c>
      <c r="B16" s="3" t="inlineStr">
        <is>
          <t>Money left in the agency after corporate royalty (21%) and overhead (30%). The bonus comes out of safe net.</t>
        </is>
      </c>
    </row>
    <row r="17" ht="30" customHeight="1">
      <c r="A17" s="2" t="inlineStr">
        <is>
          <t>Chargeback</t>
        </is>
      </c>
      <c r="B17" s="3" t="inlineStr">
        <is>
          <t>If a policy cancels mid-term, the carrier reverses unearned commission. Bonus on that policy is also reversed if cancel happens within 90 days.</t>
        </is>
      </c>
    </row>
    <row r="18" ht="30" customHeight="1">
      <c r="A18" s="2" t="inlineStr">
        <is>
          <t>Kicker</t>
        </is>
      </c>
      <c r="B18" s="3" t="inlineStr">
        <is>
          <t>Bonus multiplier based on collected %. Higher down payment = bigger multiplier.</t>
        </is>
      </c>
    </row>
    <row r="19" ht="30" customHeight="1">
      <c r="A19" s="2" t="inlineStr">
        <is>
          <t>Minimum / Gate</t>
        </is>
      </c>
      <c r="B19" s="3" t="inlineStr">
        <is>
          <t>A monthly premium threshold the agent must clear to earn that bonus line.</t>
        </is>
      </c>
    </row>
    <row r="20" ht="30" customHeight="1">
      <c r="A20" s="2" t="inlineStr">
        <is>
          <t>Retention Rate</t>
        </is>
      </c>
      <c r="B20" s="3" t="inlineStr">
        <is>
          <t>Of the policies up for renewal this month, the % that actually renewed at the same carrier.</t>
        </is>
      </c>
    </row>
    <row r="21" ht="30" customHeight="1">
      <c r="A21" s="2" t="inlineStr">
        <is>
          <t>Retention Bonus</t>
        </is>
      </c>
      <c r="B21" s="3" t="inlineStr">
        <is>
          <t>The single payment for renewals: REN written premium x 0.5%. Scales with book size, premium per renewal, and retention rate.</t>
        </is>
      </c>
    </row>
    <row r="22" ht="30" customHeight="1">
      <c r="A22" s="2" t="inlineStr">
        <is>
          <t>FLIP scenario</t>
        </is>
      </c>
      <c r="B22" s="3" t="inlineStr">
        <is>
          <t>Hypothetical: "what if all rewrites had been renewals?" The strongest behavior-change test.</t>
        </is>
      </c>
    </row>
    <row r="23" ht="30" customHeight="1">
      <c r="A23" s="2" t="inlineStr">
        <is>
          <t>SWAP scenario</t>
        </is>
      </c>
      <c r="B23" s="3" t="inlineStr">
        <is>
          <t>Hypothetical: "what if half the rewrites became renewals?" A realistic transition target.</t>
        </is>
      </c>
    </row>
    <row r="24" ht="30" customHeight="1">
      <c r="A24" s="2" t="inlineStr"/>
      <c r="B24" s="3" t="inlineStr"/>
    </row>
    <row r="25" ht="30" customHeight="1">
      <c r="A25" s="2">
        <f>==== THE NEW BONUS PLAN (one-paragraph summary) =====</f>
        <v/>
      </c>
      <c r="B25" s="3" t="inlineStr"/>
    </row>
    <row r="26" ht="30" customHeight="1">
      <c r="A26" s="2" t="inlineStr">
        <is>
          <t>New Business (NB)</t>
        </is>
      </c>
      <c r="B26" s="3" t="inlineStr">
        <is>
          <t>Tiered per-policy base by written premium ($5 to $25), plus a collected-percent kicker for policies above $1,200 ($0/$1/$2/$5/$8 by collected band). Subject to $45,000 NB written premium monthly minimum.</t>
        </is>
      </c>
    </row>
    <row r="27" ht="30" customHeight="1">
      <c r="A27" s="2" t="inlineStr">
        <is>
          <t>Rewrites (RWR)</t>
        </is>
      </c>
      <c r="B27" s="3" t="inlineStr">
        <is>
          <t>Flat per-policy base by tier ($2 / $3 / $4), plus the same collected kicker as NB. Paid only if the NB minimum is met (RWR follows NB).</t>
        </is>
      </c>
    </row>
    <row r="28" ht="30" customHeight="1">
      <c r="A28" s="2" t="inlineStr">
        <is>
          <t>Renewals (REN)</t>
        </is>
      </c>
      <c r="B28" s="3" t="inlineStr">
        <is>
          <t>No per-policy pay. Renewals are paid via the RETENTION BONUS: REN written premium x 0.5% (= $5 per $1,000 retained). Paid if retention rate is at least 30%.</t>
        </is>
      </c>
    </row>
    <row r="29" ht="30" customHeight="1">
      <c r="A29" s="2" t="inlineStr"/>
      <c r="B29" s="3" t="inlineStr"/>
    </row>
    <row r="30" ht="30" customHeight="1">
      <c r="A30" s="2">
        <f>==== KEY MECHANICS =====</f>
        <v/>
      </c>
      <c r="B30" s="3" t="inlineStr"/>
    </row>
    <row r="31" ht="30" customHeight="1">
      <c r="A31" s="2" t="inlineStr">
        <is>
          <t>Why Renewals Pay Differently</t>
        </is>
      </c>
      <c r="B31" s="3" t="inlineStr">
        <is>
          <t>Today's plan pays nothing for renewals - so agents have no incentive to keep the customer. The new plan pays a retention bonus that scales with the premium the agent retains. Bigger book + higher premium + better retention rate = bigger bonus.</t>
        </is>
      </c>
    </row>
    <row r="32" ht="30" customHeight="1">
      <c r="A32" s="2" t="inlineStr">
        <is>
          <t>Why the 50%-Swap and 100%-Flip Examples</t>
        </is>
      </c>
      <c r="B32" s="3" t="inlineStr">
        <is>
          <t>Today agents are mostly rewriting. To prove the new plan rewards the shift to renewing, each agent example is ALSO run with: (a) 50% of rewrites converted to renewals, and (b) 100% of rewrites flipped to renewals. Same dollars, just reclassified.</t>
        </is>
      </c>
    </row>
    <row r="33" ht="30" customHeight="1">
      <c r="A33" s="2" t="inlineStr">
        <is>
          <t>Profit Protection</t>
        </is>
      </c>
      <c r="B33" s="3" t="inlineStr">
        <is>
          <t>Bonus paid = target (no automatic cap). Three protections instead: (1) MINIMUM REQUIREMENTS gate each bonus line, (2) 40% REVIEW THRESHOLD flags outlier months for ownership, (3) 90-DAY CHARGEBACK reverses bonus on policies that cancel/rewrite within 90 days.</t>
        </is>
      </c>
    </row>
    <row r="34" ht="30" customHeight="1">
      <c r="A34" s="2" t="inlineStr">
        <is>
          <t>Minimum Requirements (NEW)</t>
        </is>
      </c>
      <c r="B34" s="3" t="inlineStr">
        <is>
          <t>NB minimum: $45,000 written premium/mo. REN minimum: retain 30% of book. RWR follows NB. Replaces today's 35-policy NB+RWR floor.</t>
        </is>
      </c>
    </row>
    <row r="35" ht="30" customHeight="1">
      <c r="A35" s="2" t="inlineStr"/>
      <c r="B35" s="3" t="inlineStr"/>
    </row>
    <row r="36" ht="30" customHeight="1">
      <c r="A36" s="2">
        <f>==== SHEET MAP =====</f>
        <v/>
      </c>
      <c r="B36" s="3" t="inlineStr"/>
    </row>
    <row r="37" ht="30" customHeight="1">
      <c r="A37" s="2" t="inlineStr">
        <is>
          <t xml:space="preserve">  1. Executive Summary</t>
        </is>
      </c>
      <c r="B37" s="3" t="inlineStr">
        <is>
          <t>Bottom-line comparison: Current vs New Plan, all 6 agents across 4 months. Real + 50% swap + 100% flip scenarios. No-min and with-min totals.</t>
        </is>
      </c>
    </row>
    <row r="38" ht="30" customHeight="1">
      <c r="A38" s="2" t="inlineStr">
        <is>
          <t xml:space="preserve">  2. The Bonus Plan</t>
        </is>
      </c>
      <c r="B38" s="3" t="inlineStr">
        <is>
          <t>The plan rules in one place: per-policy base tiers, collected kicker, retention bonus, minimums, worked example.</t>
        </is>
      </c>
    </row>
    <row r="39" ht="30" customHeight="1">
      <c r="A39" s="2" t="inlineStr">
        <is>
          <t xml:space="preserve">  3. Minimum Requirements</t>
        </is>
      </c>
      <c r="B39" s="3" t="inlineStr">
        <is>
          <t>How the $45,000 NB and 30% retention gates work.</t>
        </is>
      </c>
    </row>
    <row r="40" ht="30" customHeight="1">
      <c r="A40" s="2" t="inlineStr">
        <is>
          <t xml:space="preserve">  4. Why Current Drops</t>
        </is>
      </c>
      <c r="B40" s="3" t="inlineStr">
        <is>
          <t>Direct answer: why the current bonus drops when RWR converts to REN, even though "renewals pay more than rewrites" is true under the new plan.</t>
        </is>
      </c>
    </row>
    <row r="41" ht="30" customHeight="1">
      <c r="A41" s="2" t="inlineStr">
        <is>
          <t xml:space="preserve">  5. Agent Examples - Real</t>
        </is>
      </c>
      <c r="B41" s="3" t="inlineStr">
        <is>
          <t>Month-by-month bonus for the 6 agents on actual Jan-Apr 2026 data.</t>
        </is>
      </c>
    </row>
    <row r="42" ht="30" customHeight="1">
      <c r="A42" s="2" t="inlineStr">
        <is>
          <t xml:space="preserve">  6. Agent Examples - 50% Swap</t>
        </is>
      </c>
      <c r="B42" s="3" t="inlineStr">
        <is>
          <t>Same 6 agents, 50% of RWR moved to REN. Shows realistic transition earnings.</t>
        </is>
      </c>
    </row>
    <row r="43" ht="30" customHeight="1">
      <c r="A43" s="2" t="inlineStr">
        <is>
          <t xml:space="preserve">  7. Agent Examples - 100% Flip</t>
        </is>
      </c>
      <c r="B43" s="3" t="inlineStr">
        <is>
          <t>Same 6 agents, 100% of RWR moved to REN. Strongest behavior-change test.</t>
        </is>
      </c>
    </row>
    <row r="44" ht="30" customHeight="1">
      <c r="A44" s="2" t="inlineStr">
        <is>
          <t xml:space="preserve">  8. Source Data</t>
        </is>
      </c>
      <c r="B44" s="3" t="inlineStr">
        <is>
          <t>Raw NB/RWR/REN volumes from Jan-Apr 2026 pulled from the pivots.</t>
        </is>
      </c>
    </row>
    <row r="45" ht="30" customHeight="1">
      <c r="A45" s="2" t="inlineStr">
        <is>
          <t xml:space="preserve">  9. Safe Net Explained</t>
        </is>
      </c>
      <c r="B45" s="3" t="inlineStr">
        <is>
          <t>Plain-language walk-through of safe net (commission - royalty - overhead).</t>
        </is>
      </c>
    </row>
    <row r="46" ht="30" customHeight="1">
      <c r="A46" s="2" t="inlineStr">
        <is>
          <t xml:space="preserve">  10. Collected Kicker Logic</t>
        </is>
      </c>
      <c r="B46" s="3" t="inlineStr">
        <is>
          <t>How the collected % multiplier works on NB and RWR.</t>
        </is>
      </c>
    </row>
    <row r="47" ht="30" customHeight="1">
      <c r="A47" s="2" t="inlineStr">
        <is>
          <t xml:space="preserve">  11. Profitability Cap</t>
        </is>
      </c>
      <c r="B47" s="3" t="inlineStr">
        <is>
          <t>How the 40% safe-net review threshold protects ownership.</t>
        </is>
      </c>
    </row>
    <row r="48" ht="30" customHeight="1">
      <c r="A48" s="2" t="inlineStr">
        <is>
          <t xml:space="preserve">  12. Chargeback Process</t>
        </is>
      </c>
      <c r="B48" s="3" t="inlineStr">
        <is>
          <t>90-day cancellation/rewrite reversal procedure.</t>
        </is>
      </c>
    </row>
    <row r="49" ht="30" customHeight="1">
      <c r="A49" s="2" t="inlineStr">
        <is>
          <t xml:space="preserve">  13. Manual Tracker Template</t>
        </is>
      </c>
      <c r="B49" s="3" t="inlineStr">
        <is>
          <t>Monthly template for verified bonus tracking.</t>
        </is>
      </c>
    </row>
    <row r="50" ht="30" customHeight="1">
      <c r="A50" s="2" t="inlineStr">
        <is>
          <t xml:space="preserve">  14. Assumptions</t>
        </is>
      </c>
      <c r="B50"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7321.886727777778</v>
      </c>
      <c r="C7" s="11" t="n">
        <v>8636.835711111113</v>
      </c>
      <c r="D7" s="11" t="n">
        <v>9637.567083333335</v>
      </c>
      <c r="E7" s="12" t="inlineStr">
        <is>
          <t>The calculated target before applying minimums.</t>
        </is>
      </c>
    </row>
    <row r="8" ht="30" customHeight="1">
      <c r="A8" s="10" t="inlineStr">
        <is>
          <t>The Bonus Plan WITH MIN (RECOMMENDED)</t>
        </is>
      </c>
      <c r="B8" s="11" t="n">
        <v>2418.756022222223</v>
      </c>
      <c r="C8" s="11" t="n">
        <v>4725.290508333333</v>
      </c>
      <c r="D8" s="11" t="n">
        <v>6475.017938888889</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283.2677777777778</v>
      </c>
      <c r="H14" s="17" t="n">
        <v>38.025</v>
      </c>
      <c r="I14" s="16" t="n">
        <v>-311.975</v>
      </c>
    </row>
    <row r="15">
      <c r="A15" s="14" t="inlineStr">
        <is>
          <t>January</t>
        </is>
      </c>
      <c r="B15" s="14" t="inlineStr">
        <is>
          <t>Dialinerys Dieguez</t>
        </is>
      </c>
      <c r="C15" s="15" t="n">
        <v>23</v>
      </c>
      <c r="D15" s="15" t="n">
        <v>48</v>
      </c>
      <c r="E15" s="15" t="n">
        <v>11</v>
      </c>
      <c r="F15" s="16" t="n">
        <v>660</v>
      </c>
      <c r="G15" s="11" t="n">
        <v>388.1386722222222</v>
      </c>
      <c r="H15" s="17" t="n">
        <v>62.65235</v>
      </c>
      <c r="I15" s="16" t="n">
        <v>-597.34765</v>
      </c>
    </row>
    <row r="16">
      <c r="A16" s="14" t="inlineStr">
        <is>
          <t>January</t>
        </is>
      </c>
      <c r="B16" s="14" t="inlineStr">
        <is>
          <t>Melissa Hernandez</t>
        </is>
      </c>
      <c r="C16" s="15" t="n">
        <v>31</v>
      </c>
      <c r="D16" s="15" t="n">
        <v>48</v>
      </c>
      <c r="E16" s="15" t="n">
        <v>0</v>
      </c>
      <c r="F16" s="16" t="n">
        <v>740</v>
      </c>
      <c r="G16" s="11" t="n">
        <v>338.6958333333333</v>
      </c>
      <c r="H16" s="17" t="n">
        <v>0</v>
      </c>
      <c r="I16" s="16" t="n">
        <v>-740</v>
      </c>
    </row>
    <row r="17">
      <c r="A17" s="14" t="inlineStr">
        <is>
          <t>January</t>
        </is>
      </c>
      <c r="B17" s="14" t="inlineStr">
        <is>
          <t>Flavia Parra</t>
        </is>
      </c>
      <c r="C17" s="15" t="n">
        <v>19</v>
      </c>
      <c r="D17" s="15" t="n">
        <v>35</v>
      </c>
      <c r="E17" s="15" t="n">
        <v>1</v>
      </c>
      <c r="F17" s="16" t="n">
        <v>490</v>
      </c>
      <c r="G17" s="11" t="n">
        <v>240.4557222222222</v>
      </c>
      <c r="H17" s="17" t="n">
        <v>7.32175</v>
      </c>
      <c r="I17" s="16" t="n">
        <v>-482.67825</v>
      </c>
    </row>
    <row r="18">
      <c r="A18" s="14" t="inlineStr">
        <is>
          <t>January</t>
        </is>
      </c>
      <c r="B18" s="14" t="inlineStr">
        <is>
          <t>Thalia Rojas</t>
        </is>
      </c>
      <c r="C18" s="15" t="n">
        <v>10</v>
      </c>
      <c r="D18" s="15" t="n">
        <v>28</v>
      </c>
      <c r="E18" s="15" t="n">
        <v>4</v>
      </c>
      <c r="F18" s="16" t="n">
        <v>350</v>
      </c>
      <c r="G18" s="11" t="n">
        <v>153.4966277777777</v>
      </c>
      <c r="H18" s="17" t="n">
        <v>18.45</v>
      </c>
      <c r="I18" s="16" t="n">
        <v>-331.55</v>
      </c>
    </row>
    <row r="19">
      <c r="A19" s="14" t="inlineStr">
        <is>
          <t>January</t>
        </is>
      </c>
      <c r="B19" s="14" t="inlineStr">
        <is>
          <t>Monica Valdes</t>
        </is>
      </c>
      <c r="C19" s="15" t="n">
        <v>23</v>
      </c>
      <c r="D19" s="15" t="n">
        <v>37</v>
      </c>
      <c r="E19" s="15" t="n">
        <v>6</v>
      </c>
      <c r="F19" s="16" t="n">
        <v>550</v>
      </c>
      <c r="G19" s="11" t="n">
        <v>335.6387388888888</v>
      </c>
      <c r="H19" s="17" t="n">
        <v>32.51455</v>
      </c>
      <c r="I19" s="16" t="n">
        <v>-517.48545</v>
      </c>
    </row>
    <row r="20">
      <c r="A20" s="14" t="inlineStr">
        <is>
          <t>February</t>
        </is>
      </c>
      <c r="B20" s="14" t="inlineStr">
        <is>
          <t>Abel Guaina</t>
        </is>
      </c>
      <c r="C20" s="15" t="n">
        <v>13</v>
      </c>
      <c r="D20" s="15" t="n">
        <v>19</v>
      </c>
      <c r="E20" s="15" t="n">
        <v>7</v>
      </c>
      <c r="F20" s="16" t="n">
        <v>250</v>
      </c>
      <c r="G20" s="11" t="n">
        <v>224.585</v>
      </c>
      <c r="H20" s="17" t="n">
        <v>37.585</v>
      </c>
      <c r="I20" s="16" t="n">
        <v>-212.415</v>
      </c>
    </row>
    <row r="21">
      <c r="A21" s="14" t="inlineStr">
        <is>
          <t>February</t>
        </is>
      </c>
      <c r="B21" s="14" t="inlineStr">
        <is>
          <t>Dialinerys Dieguez</t>
        </is>
      </c>
      <c r="C21" s="15" t="n">
        <v>23</v>
      </c>
      <c r="D21" s="15" t="n">
        <v>56</v>
      </c>
      <c r="E21" s="15" t="n">
        <v>9</v>
      </c>
      <c r="F21" s="16" t="n">
        <v>740</v>
      </c>
      <c r="G21" s="11" t="n">
        <v>425.0386722222222</v>
      </c>
      <c r="H21" s="17" t="n">
        <v>58.1484</v>
      </c>
      <c r="I21" s="16" t="n">
        <v>-681.8516</v>
      </c>
    </row>
    <row r="22">
      <c r="A22" s="14" t="inlineStr">
        <is>
          <t>February</t>
        </is>
      </c>
      <c r="B22" s="14" t="inlineStr">
        <is>
          <t>Melissa Hernandez</t>
        </is>
      </c>
      <c r="C22" s="15" t="n">
        <v>13</v>
      </c>
      <c r="D22" s="15" t="n">
        <v>37</v>
      </c>
      <c r="E22" s="15" t="n">
        <v>1</v>
      </c>
      <c r="F22" s="16" t="n">
        <v>450</v>
      </c>
      <c r="G22" s="11" t="n">
        <v>181.315</v>
      </c>
      <c r="H22" s="17" t="n">
        <v>5.315</v>
      </c>
      <c r="I22" s="16" t="n">
        <v>-444.685</v>
      </c>
    </row>
    <row r="23">
      <c r="A23" s="14" t="inlineStr">
        <is>
          <t>February</t>
        </is>
      </c>
      <c r="B23" s="14" t="inlineStr">
        <is>
          <t>Flavia Parra</t>
        </is>
      </c>
      <c r="C23" s="15" t="n">
        <v>23</v>
      </c>
      <c r="D23" s="15" t="n">
        <v>42</v>
      </c>
      <c r="E23" s="15" t="n">
        <v>2</v>
      </c>
      <c r="F23" s="16" t="n">
        <v>600</v>
      </c>
      <c r="G23" s="11" t="n">
        <v>265.5421944444445</v>
      </c>
      <c r="H23" s="17" t="n">
        <v>10.495</v>
      </c>
      <c r="I23" s="16" t="n">
        <v>-589.505</v>
      </c>
    </row>
    <row r="24">
      <c r="A24" s="14" t="inlineStr">
        <is>
          <t>February</t>
        </is>
      </c>
      <c r="B24" s="14" t="inlineStr">
        <is>
          <t>Thalia Rojas</t>
        </is>
      </c>
      <c r="C24" s="15" t="n">
        <v>14</v>
      </c>
      <c r="D24" s="15" t="n">
        <v>24</v>
      </c>
      <c r="E24" s="15" t="n">
        <v>5</v>
      </c>
      <c r="F24" s="16" t="n">
        <v>350</v>
      </c>
      <c r="G24" s="11" t="n">
        <v>197.0702277777778</v>
      </c>
      <c r="H24" s="17" t="n">
        <v>37.23</v>
      </c>
      <c r="I24" s="16" t="n">
        <v>-312.77</v>
      </c>
    </row>
    <row r="25">
      <c r="A25" s="14" t="inlineStr">
        <is>
          <t>February</t>
        </is>
      </c>
      <c r="B25" s="14" t="inlineStr">
        <is>
          <t>Monica Valdes</t>
        </is>
      </c>
      <c r="C25" s="15" t="n">
        <v>21</v>
      </c>
      <c r="D25" s="15" t="n">
        <v>29</v>
      </c>
      <c r="E25" s="15" t="n">
        <v>2</v>
      </c>
      <c r="F25" s="16" t="n">
        <v>450</v>
      </c>
      <c r="G25" s="11" t="n">
        <v>287.0500444444444</v>
      </c>
      <c r="H25" s="17" t="n">
        <v>15.46</v>
      </c>
      <c r="I25" s="16" t="n">
        <v>-434.54</v>
      </c>
    </row>
    <row r="26">
      <c r="A26" s="14" t="inlineStr">
        <is>
          <t>March</t>
        </is>
      </c>
      <c r="B26" s="14" t="inlineStr">
        <is>
          <t>Abel Guaina</t>
        </is>
      </c>
      <c r="C26" s="15" t="n">
        <v>30</v>
      </c>
      <c r="D26" s="15" t="n">
        <v>17</v>
      </c>
      <c r="E26" s="15" t="n">
        <v>5</v>
      </c>
      <c r="F26" s="16" t="n">
        <v>350</v>
      </c>
      <c r="G26" s="11" t="n">
        <v>297.2023333333333</v>
      </c>
      <c r="H26" s="17" t="n">
        <v>297.2023333333333</v>
      </c>
      <c r="I26" s="16" t="n">
        <v>-52.79766666666666</v>
      </c>
    </row>
    <row r="27">
      <c r="A27" s="14" t="inlineStr">
        <is>
          <t>March</t>
        </is>
      </c>
      <c r="B27" s="14" t="inlineStr">
        <is>
          <t>Dialinerys Dieguez</t>
        </is>
      </c>
      <c r="C27" s="15" t="n">
        <v>38</v>
      </c>
      <c r="D27" s="15" t="n">
        <v>69</v>
      </c>
      <c r="E27" s="15" t="n">
        <v>7</v>
      </c>
      <c r="F27" s="16" t="n">
        <v>1020</v>
      </c>
      <c r="G27" s="11" t="n">
        <v>596.6605555555556</v>
      </c>
      <c r="H27" s="17" t="n">
        <v>596.6605555555556</v>
      </c>
      <c r="I27" s="16" t="n">
        <v>-423.3394444444444</v>
      </c>
    </row>
    <row r="28">
      <c r="A28" s="14" t="inlineStr">
        <is>
          <t>March</t>
        </is>
      </c>
      <c r="B28" s="14" t="inlineStr">
        <is>
          <t>Melissa Hernandez</t>
        </is>
      </c>
      <c r="C28" s="15" t="n">
        <v>28</v>
      </c>
      <c r="D28" s="15" t="n">
        <v>48</v>
      </c>
      <c r="E28" s="15" t="n">
        <v>1</v>
      </c>
      <c r="F28" s="16" t="n">
        <v>710</v>
      </c>
      <c r="G28" s="11" t="n">
        <v>312.7592222222223</v>
      </c>
      <c r="H28" s="17" t="n">
        <v>5.17</v>
      </c>
      <c r="I28" s="16" t="n">
        <v>-704.83</v>
      </c>
    </row>
    <row r="29">
      <c r="A29" s="14" t="inlineStr">
        <is>
          <t>March</t>
        </is>
      </c>
      <c r="B29" s="14" t="inlineStr">
        <is>
          <t>Flavia Parra</t>
        </is>
      </c>
      <c r="C29" s="15" t="n">
        <v>27</v>
      </c>
      <c r="D29" s="15" t="n">
        <v>27</v>
      </c>
      <c r="E29" s="15" t="n">
        <v>0</v>
      </c>
      <c r="F29" s="16" t="n">
        <v>490</v>
      </c>
      <c r="G29" s="11" t="n">
        <v>251.2102777777778</v>
      </c>
      <c r="H29" s="17" t="n">
        <v>0</v>
      </c>
      <c r="I29" s="16" t="n">
        <v>-490</v>
      </c>
    </row>
    <row r="30">
      <c r="A30" s="14" t="inlineStr">
        <is>
          <t>March</t>
        </is>
      </c>
      <c r="B30" s="14" t="inlineStr">
        <is>
          <t>Thalia Rojas</t>
        </is>
      </c>
      <c r="C30" s="15" t="n">
        <v>19</v>
      </c>
      <c r="D30" s="15" t="n">
        <v>19</v>
      </c>
      <c r="E30" s="15" t="n">
        <v>6</v>
      </c>
      <c r="F30" s="16" t="n">
        <v>350</v>
      </c>
      <c r="G30" s="11" t="n">
        <v>188.4973611111111</v>
      </c>
      <c r="H30" s="17" t="n">
        <v>28.2195</v>
      </c>
      <c r="I30" s="16" t="n">
        <v>-321.7805</v>
      </c>
    </row>
    <row r="31">
      <c r="A31" s="14" t="inlineStr">
        <is>
          <t>March</t>
        </is>
      </c>
      <c r="B31" s="14" t="inlineStr">
        <is>
          <t>Monica Valdes</t>
        </is>
      </c>
      <c r="C31" s="15" t="n">
        <v>36</v>
      </c>
      <c r="D31" s="15" t="n">
        <v>28</v>
      </c>
      <c r="E31" s="15" t="n">
        <v>0</v>
      </c>
      <c r="F31" s="16" t="n">
        <v>590</v>
      </c>
      <c r="G31" s="11" t="n">
        <v>496.1624666666667</v>
      </c>
      <c r="H31" s="17" t="n">
        <v>496.1624666666667</v>
      </c>
      <c r="I31" s="16" t="n">
        <v>-93.83753333333334</v>
      </c>
    </row>
    <row r="32">
      <c r="A32" s="14" t="inlineStr">
        <is>
          <t>April</t>
        </is>
      </c>
      <c r="B32" s="14" t="inlineStr">
        <is>
          <t>Abel Guaina</t>
        </is>
      </c>
      <c r="C32" s="15" t="n">
        <v>27</v>
      </c>
      <c r="D32" s="15" t="n">
        <v>15</v>
      </c>
      <c r="E32" s="15" t="n">
        <v>13</v>
      </c>
      <c r="F32" s="16" t="n">
        <v>350</v>
      </c>
      <c r="G32" s="11" t="n">
        <v>315.3808444444444</v>
      </c>
      <c r="H32" s="17" t="n">
        <v>54.67995</v>
      </c>
      <c r="I32" s="16" t="n">
        <v>-295.32005</v>
      </c>
    </row>
    <row r="33">
      <c r="A33" s="14" t="inlineStr">
        <is>
          <t>April</t>
        </is>
      </c>
      <c r="B33" s="14" t="inlineStr">
        <is>
          <t>Dialinerys Dieguez</t>
        </is>
      </c>
      <c r="C33" s="15" t="n">
        <v>33</v>
      </c>
      <c r="D33" s="15" t="n">
        <v>44</v>
      </c>
      <c r="E33" s="15" t="n">
        <v>2</v>
      </c>
      <c r="F33" s="16" t="n">
        <v>720</v>
      </c>
      <c r="G33" s="11" t="n">
        <v>582.3841666666667</v>
      </c>
      <c r="H33" s="17" t="n">
        <v>582.3841666666667</v>
      </c>
      <c r="I33" s="16" t="n">
        <v>-137.6158333333333</v>
      </c>
    </row>
    <row r="34">
      <c r="A34" s="14" t="inlineStr">
        <is>
          <t>April</t>
        </is>
      </c>
      <c r="B34" s="14" t="inlineStr">
        <is>
          <t>Melissa Hernandez</t>
        </is>
      </c>
      <c r="C34" s="15" t="n">
        <v>15</v>
      </c>
      <c r="D34" s="15" t="n">
        <v>37</v>
      </c>
      <c r="E34" s="15" t="n">
        <v>0</v>
      </c>
      <c r="F34" s="16" t="n">
        <v>470</v>
      </c>
      <c r="G34" s="11" t="n">
        <v>202.2071666666667</v>
      </c>
      <c r="H34" s="17" t="n">
        <v>0</v>
      </c>
      <c r="I34" s="16" t="n">
        <v>-470</v>
      </c>
    </row>
    <row r="35">
      <c r="A35" s="14" t="inlineStr">
        <is>
          <t>April</t>
        </is>
      </c>
      <c r="B35" s="14" t="inlineStr">
        <is>
          <t>Flavia Parra</t>
        </is>
      </c>
      <c r="C35" s="15" t="n">
        <v>23</v>
      </c>
      <c r="D35" s="15" t="n">
        <v>31</v>
      </c>
      <c r="E35" s="15" t="n">
        <v>1</v>
      </c>
      <c r="F35" s="16" t="n">
        <v>490</v>
      </c>
      <c r="G35" s="11" t="n">
        <v>278.9393888888889</v>
      </c>
      <c r="H35" s="17" t="n">
        <v>4.425</v>
      </c>
      <c r="I35" s="16" t="n">
        <v>-485.575</v>
      </c>
    </row>
    <row r="36">
      <c r="A36" s="14" t="inlineStr">
        <is>
          <t>April</t>
        </is>
      </c>
      <c r="B36" s="14" t="inlineStr">
        <is>
          <t>Thalia Rojas</t>
        </is>
      </c>
      <c r="C36" s="15" t="n">
        <v>9</v>
      </c>
      <c r="D36" s="15" t="n">
        <v>29</v>
      </c>
      <c r="E36" s="15" t="n">
        <v>3</v>
      </c>
      <c r="F36" s="16" t="n">
        <v>350</v>
      </c>
      <c r="G36" s="11" t="n">
        <v>204.6902222222222</v>
      </c>
      <c r="H36" s="17" t="n">
        <v>18.085</v>
      </c>
      <c r="I36" s="16" t="n">
        <v>-331.915</v>
      </c>
    </row>
    <row r="37">
      <c r="A37" s="14" t="inlineStr">
        <is>
          <t>April</t>
        </is>
      </c>
      <c r="B37" s="14" t="inlineStr">
        <is>
          <t>Monica Valdes</t>
        </is>
      </c>
      <c r="C37" s="15" t="n">
        <v>22</v>
      </c>
      <c r="D37" s="15" t="n">
        <v>22</v>
      </c>
      <c r="E37" s="15" t="n">
        <v>2</v>
      </c>
      <c r="F37" s="16" t="n">
        <v>350</v>
      </c>
      <c r="G37" s="11" t="n">
        <v>275.4982111111111</v>
      </c>
      <c r="H37" s="17" t="n">
        <v>12.57</v>
      </c>
      <c r="I37" s="16" t="n">
        <v>-337.43</v>
      </c>
    </row>
    <row r="38">
      <c r="A38" s="18" t="inlineStr">
        <is>
          <t>REAL 4-MONTH TOTAL (6 agents)</t>
        </is>
      </c>
      <c r="F38" s="19" t="n">
        <v>12220</v>
      </c>
      <c r="G38" s="19" t="n">
        <v>7321.886727777779</v>
      </c>
      <c r="H38" s="19" t="n">
        <v>2418.756022222223</v>
      </c>
      <c r="I38" s="19" t="n">
        <v>-9801.243977777776</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318.1093055555556</v>
      </c>
      <c r="H42" s="17" t="n">
        <v>106.82125</v>
      </c>
      <c r="I42" s="16" t="n">
        <v>-143.17875</v>
      </c>
    </row>
    <row r="43">
      <c r="A43" s="14" t="inlineStr">
        <is>
          <t>January</t>
        </is>
      </c>
      <c r="B43" s="14" t="inlineStr">
        <is>
          <t>Dialinerys Dieguez</t>
        </is>
      </c>
      <c r="C43" s="15" t="n">
        <v>23</v>
      </c>
      <c r="D43" s="15" t="n">
        <v>24</v>
      </c>
      <c r="E43" s="15" t="n">
        <v>35</v>
      </c>
      <c r="F43" s="16" t="n">
        <v>350</v>
      </c>
      <c r="G43" s="11" t="n">
        <v>470.0839611111111</v>
      </c>
      <c r="H43" s="17" t="n">
        <v>226.8408</v>
      </c>
      <c r="I43" s="16" t="n">
        <v>-123.1592</v>
      </c>
    </row>
    <row r="44">
      <c r="A44" s="14" t="inlineStr">
        <is>
          <t>January</t>
        </is>
      </c>
      <c r="B44" s="14" t="inlineStr">
        <is>
          <t>Melissa Hernandez</t>
        </is>
      </c>
      <c r="C44" s="15" t="n">
        <v>31</v>
      </c>
      <c r="D44" s="15" t="n">
        <v>24</v>
      </c>
      <c r="E44" s="15" t="n">
        <v>24</v>
      </c>
      <c r="F44" s="16" t="n">
        <v>500</v>
      </c>
      <c r="G44" s="11" t="n">
        <v>415.5280555555555</v>
      </c>
      <c r="H44" s="17" t="n">
        <v>158.43625</v>
      </c>
      <c r="I44" s="16" t="n">
        <v>-341.56375</v>
      </c>
    </row>
    <row r="45">
      <c r="A45" s="14" t="inlineStr">
        <is>
          <t>January</t>
        </is>
      </c>
      <c r="B45" s="14" t="inlineStr">
        <is>
          <t>Flavia Parra</t>
        </is>
      </c>
      <c r="C45" s="15" t="n">
        <v>19</v>
      </c>
      <c r="D45" s="15" t="n">
        <v>17</v>
      </c>
      <c r="E45" s="15" t="n">
        <v>19</v>
      </c>
      <c r="F45" s="16" t="n">
        <v>350</v>
      </c>
      <c r="G45" s="11" t="n">
        <v>293.3741527777778</v>
      </c>
      <c r="H45" s="17" t="n">
        <v>106.216875</v>
      </c>
      <c r="I45" s="16" t="n">
        <v>-243.783125</v>
      </c>
    </row>
    <row r="46">
      <c r="A46" s="14" t="inlineStr">
        <is>
          <t>January</t>
        </is>
      </c>
      <c r="B46" s="14" t="inlineStr">
        <is>
          <t>Thalia Rojas</t>
        </is>
      </c>
      <c r="C46" s="15" t="n">
        <v>10</v>
      </c>
      <c r="D46" s="15" t="n">
        <v>14</v>
      </c>
      <c r="E46" s="15" t="n">
        <v>18</v>
      </c>
      <c r="F46" s="16" t="n">
        <v>0</v>
      </c>
      <c r="G46" s="11" t="n">
        <v>203.6831388888889</v>
      </c>
      <c r="H46" s="17" t="n">
        <v>101.159825</v>
      </c>
      <c r="I46" s="16" t="n">
        <v>101.159825</v>
      </c>
    </row>
    <row r="47">
      <c r="A47" s="14" t="inlineStr">
        <is>
          <t>January</t>
        </is>
      </c>
      <c r="B47" s="14" t="inlineStr">
        <is>
          <t>Monica Valdes</t>
        </is>
      </c>
      <c r="C47" s="15" t="n">
        <v>23</v>
      </c>
      <c r="D47" s="15" t="n">
        <v>19</v>
      </c>
      <c r="E47" s="15" t="n">
        <v>24</v>
      </c>
      <c r="F47" s="16" t="n">
        <v>350</v>
      </c>
      <c r="G47" s="11" t="n">
        <v>395.6675388888889</v>
      </c>
      <c r="H47" s="17" t="n">
        <v>154.04695</v>
      </c>
      <c r="I47" s="16" t="n">
        <v>-195.95305</v>
      </c>
    </row>
    <row r="48">
      <c r="A48" s="14" t="inlineStr">
        <is>
          <t>February</t>
        </is>
      </c>
      <c r="B48" s="14" t="inlineStr">
        <is>
          <t>Abel Guaina</t>
        </is>
      </c>
      <c r="C48" s="15" t="n">
        <v>13</v>
      </c>
      <c r="D48" s="15" t="n">
        <v>9</v>
      </c>
      <c r="E48" s="15" t="n">
        <v>17</v>
      </c>
      <c r="F48" s="16" t="n">
        <v>0</v>
      </c>
      <c r="G48" s="11" t="n">
        <v>271.1925</v>
      </c>
      <c r="H48" s="17" t="n">
        <v>114.1925</v>
      </c>
      <c r="I48" s="16" t="n">
        <v>114.1925</v>
      </c>
    </row>
    <row r="49">
      <c r="A49" s="14" t="inlineStr">
        <is>
          <t>February</t>
        </is>
      </c>
      <c r="B49" s="14" t="inlineStr">
        <is>
          <t>Dialinerys Dieguez</t>
        </is>
      </c>
      <c r="C49" s="15" t="n">
        <v>23</v>
      </c>
      <c r="D49" s="15" t="n">
        <v>28</v>
      </c>
      <c r="E49" s="15" t="n">
        <v>37</v>
      </c>
      <c r="F49" s="16" t="n">
        <v>460</v>
      </c>
      <c r="G49" s="11" t="n">
        <v>540.4711166666667</v>
      </c>
      <c r="H49" s="17" t="n">
        <v>272.0099</v>
      </c>
      <c r="I49" s="16" t="n">
        <v>-187.9901</v>
      </c>
    </row>
    <row r="50">
      <c r="A50" s="14" t="inlineStr">
        <is>
          <t>February</t>
        </is>
      </c>
      <c r="B50" s="14" t="inlineStr">
        <is>
          <t>Melissa Hernandez</t>
        </is>
      </c>
      <c r="C50" s="15" t="n">
        <v>13</v>
      </c>
      <c r="D50" s="15" t="n">
        <v>19</v>
      </c>
      <c r="E50" s="15" t="n">
        <v>19</v>
      </c>
      <c r="F50" s="16" t="n">
        <v>250</v>
      </c>
      <c r="G50" s="11" t="n">
        <v>252.29175</v>
      </c>
      <c r="H50" s="17" t="n">
        <v>130.29175</v>
      </c>
      <c r="I50" s="16" t="n">
        <v>-119.70825</v>
      </c>
    </row>
    <row r="51">
      <c r="A51" s="14" t="inlineStr">
        <is>
          <t>February</t>
        </is>
      </c>
      <c r="B51" s="14" t="inlineStr">
        <is>
          <t>Flavia Parra</t>
        </is>
      </c>
      <c r="C51" s="15" t="n">
        <v>23</v>
      </c>
      <c r="D51" s="15" t="n">
        <v>21</v>
      </c>
      <c r="E51" s="15" t="n">
        <v>23</v>
      </c>
      <c r="F51" s="16" t="n">
        <v>350</v>
      </c>
      <c r="G51" s="11" t="n">
        <v>307.0838055555556</v>
      </c>
      <c r="H51" s="17" t="n">
        <v>119.713625</v>
      </c>
      <c r="I51" s="16" t="n">
        <v>-230.286375</v>
      </c>
    </row>
    <row r="52">
      <c r="A52" s="14" t="inlineStr">
        <is>
          <t>February</t>
        </is>
      </c>
      <c r="B52" s="14" t="inlineStr">
        <is>
          <t>Thalia Rojas</t>
        </is>
      </c>
      <c r="C52" s="15" t="n">
        <v>14</v>
      </c>
      <c r="D52" s="15" t="n">
        <v>12</v>
      </c>
      <c r="E52" s="15" t="n">
        <v>17</v>
      </c>
      <c r="F52" s="16" t="n">
        <v>0</v>
      </c>
      <c r="G52" s="11" t="n">
        <v>239.9550277777778</v>
      </c>
      <c r="H52" s="17" t="n">
        <v>107.9754</v>
      </c>
      <c r="I52" s="16" t="n">
        <v>107.9754</v>
      </c>
    </row>
    <row r="53">
      <c r="A53" s="14" t="inlineStr">
        <is>
          <t>February</t>
        </is>
      </c>
      <c r="B53" s="14" t="inlineStr">
        <is>
          <t>Monica Valdes</t>
        </is>
      </c>
      <c r="C53" s="15" t="n">
        <v>21</v>
      </c>
      <c r="D53" s="15" t="n">
        <v>15</v>
      </c>
      <c r="E53" s="15" t="n">
        <v>16</v>
      </c>
      <c r="F53" s="16" t="n">
        <v>350</v>
      </c>
      <c r="G53" s="11" t="n">
        <v>354.6682222222222</v>
      </c>
      <c r="H53" s="17" t="n">
        <v>133.53045</v>
      </c>
      <c r="I53" s="16" t="n">
        <v>-216.46955</v>
      </c>
    </row>
    <row r="54">
      <c r="A54" s="14" t="inlineStr">
        <is>
          <t>March</t>
        </is>
      </c>
      <c r="B54" s="14" t="inlineStr">
        <is>
          <t>Abel Guaina</t>
        </is>
      </c>
      <c r="C54" s="15" t="n">
        <v>30</v>
      </c>
      <c r="D54" s="15" t="n">
        <v>9</v>
      </c>
      <c r="E54" s="15" t="n">
        <v>13</v>
      </c>
      <c r="F54" s="16" t="n">
        <v>350</v>
      </c>
      <c r="G54" s="11" t="n">
        <v>327.5893333333333</v>
      </c>
      <c r="H54" s="17" t="n">
        <v>327.5893333333333</v>
      </c>
      <c r="I54" s="16" t="n">
        <v>-22.41066666666666</v>
      </c>
    </row>
    <row r="55">
      <c r="A55" s="14" t="inlineStr">
        <is>
          <t>March</t>
        </is>
      </c>
      <c r="B55" s="14" t="inlineStr">
        <is>
          <t>Dialinerys Dieguez</t>
        </is>
      </c>
      <c r="C55" s="15" t="n">
        <v>38</v>
      </c>
      <c r="D55" s="15" t="n">
        <v>35</v>
      </c>
      <c r="E55" s="15" t="n">
        <v>41</v>
      </c>
      <c r="F55" s="16" t="n">
        <v>680</v>
      </c>
      <c r="G55" s="11" t="n">
        <v>704.4379027777777</v>
      </c>
      <c r="H55" s="17" t="n">
        <v>704.4379027777777</v>
      </c>
      <c r="I55" s="16" t="n">
        <v>24.43790277777771</v>
      </c>
    </row>
    <row r="56">
      <c r="A56" s="14" t="inlineStr">
        <is>
          <t>March</t>
        </is>
      </c>
      <c r="B56" s="14" t="inlineStr">
        <is>
          <t>Melissa Hernandez</t>
        </is>
      </c>
      <c r="C56" s="15" t="n">
        <v>28</v>
      </c>
      <c r="D56" s="15" t="n">
        <v>24</v>
      </c>
      <c r="E56" s="15" t="n">
        <v>25</v>
      </c>
      <c r="F56" s="16" t="n">
        <v>470</v>
      </c>
      <c r="G56" s="11" t="n">
        <v>399.1161111111111</v>
      </c>
      <c r="H56" s="17" t="n">
        <v>147.3215</v>
      </c>
      <c r="I56" s="16" t="n">
        <v>-322.6785</v>
      </c>
    </row>
    <row r="57">
      <c r="A57" s="14" t="inlineStr">
        <is>
          <t>March</t>
        </is>
      </c>
      <c r="B57" s="14" t="inlineStr">
        <is>
          <t>Flavia Parra</t>
        </is>
      </c>
      <c r="C57" s="15" t="n">
        <v>27</v>
      </c>
      <c r="D57" s="15" t="n">
        <v>13</v>
      </c>
      <c r="E57" s="15" t="n">
        <v>14</v>
      </c>
      <c r="F57" s="16" t="n">
        <v>350</v>
      </c>
      <c r="G57" s="11" t="n">
        <v>272.6843888888889</v>
      </c>
      <c r="H57" s="17" t="n">
        <v>58.81675000000001</v>
      </c>
      <c r="I57" s="16" t="n">
        <v>-291.18325</v>
      </c>
    </row>
    <row r="58">
      <c r="A58" s="14" t="inlineStr">
        <is>
          <t>March</t>
        </is>
      </c>
      <c r="B58" s="14" t="inlineStr">
        <is>
          <t>Thalia Rojas</t>
        </is>
      </c>
      <c r="C58" s="15" t="n">
        <v>19</v>
      </c>
      <c r="D58" s="15" t="n">
        <v>9</v>
      </c>
      <c r="E58" s="15" t="n">
        <v>16</v>
      </c>
      <c r="F58" s="16" t="n">
        <v>0</v>
      </c>
      <c r="G58" s="11" t="n">
        <v>213.7434583333333</v>
      </c>
      <c r="H58" s="17" t="n">
        <v>77.821625</v>
      </c>
      <c r="I58" s="16" t="n">
        <v>77.821625</v>
      </c>
    </row>
    <row r="59">
      <c r="A59" s="14" t="inlineStr">
        <is>
          <t>March</t>
        </is>
      </c>
      <c r="B59" s="14" t="inlineStr">
        <is>
          <t>Monica Valdes</t>
        </is>
      </c>
      <c r="C59" s="15" t="n">
        <v>36</v>
      </c>
      <c r="D59" s="15" t="n">
        <v>14</v>
      </c>
      <c r="E59" s="15" t="n">
        <v>14</v>
      </c>
      <c r="F59" s="16" t="n">
        <v>450</v>
      </c>
      <c r="G59" s="11" t="n">
        <v>552.2990916666666</v>
      </c>
      <c r="H59" s="17" t="n">
        <v>552.2990916666666</v>
      </c>
      <c r="I59" s="16" t="n">
        <v>102.2990916666666</v>
      </c>
    </row>
    <row r="60">
      <c r="A60" s="14" t="inlineStr">
        <is>
          <t>April</t>
        </is>
      </c>
      <c r="B60" s="14" t="inlineStr">
        <is>
          <t>Abel Guaina</t>
        </is>
      </c>
      <c r="C60" s="15" t="n">
        <v>27</v>
      </c>
      <c r="D60" s="15" t="n">
        <v>7</v>
      </c>
      <c r="E60" s="15" t="n">
        <v>21</v>
      </c>
      <c r="F60" s="16" t="n">
        <v>250</v>
      </c>
      <c r="G60" s="11" t="n">
        <v>329.7830111111111</v>
      </c>
      <c r="H60" s="17" t="n">
        <v>93.08482500000001</v>
      </c>
      <c r="I60" s="16" t="n">
        <v>-156.915175</v>
      </c>
    </row>
    <row r="61">
      <c r="A61" s="14" t="inlineStr">
        <is>
          <t>April</t>
        </is>
      </c>
      <c r="B61" s="14" t="inlineStr">
        <is>
          <t>Dialinerys Dieguez</t>
        </is>
      </c>
      <c r="C61" s="15" t="n">
        <v>33</v>
      </c>
      <c r="D61" s="15" t="n">
        <v>22</v>
      </c>
      <c r="E61" s="15" t="n">
        <v>24</v>
      </c>
      <c r="F61" s="16" t="n">
        <v>500</v>
      </c>
      <c r="G61" s="11" t="n">
        <v>624.3457555555556</v>
      </c>
      <c r="H61" s="17" t="n">
        <v>624.3457555555556</v>
      </c>
      <c r="I61" s="16" t="n">
        <v>124.3457555555556</v>
      </c>
    </row>
    <row r="62">
      <c r="A62" s="14" t="inlineStr">
        <is>
          <t>April</t>
        </is>
      </c>
      <c r="B62" s="14" t="inlineStr">
        <is>
          <t>Melissa Hernandez</t>
        </is>
      </c>
      <c r="C62" s="15" t="n">
        <v>15</v>
      </c>
      <c r="D62" s="15" t="n">
        <v>19</v>
      </c>
      <c r="E62" s="15" t="n">
        <v>18</v>
      </c>
      <c r="F62" s="16" t="n">
        <v>250</v>
      </c>
      <c r="G62" s="11" t="n">
        <v>268.6431666666667</v>
      </c>
      <c r="H62" s="17" t="n">
        <v>108.4905</v>
      </c>
      <c r="I62" s="16" t="n">
        <v>-141.5095</v>
      </c>
    </row>
    <row r="63">
      <c r="A63" s="14" t="inlineStr">
        <is>
          <t>April</t>
        </is>
      </c>
      <c r="B63" s="14" t="inlineStr">
        <is>
          <t>Flavia Parra</t>
        </is>
      </c>
      <c r="C63" s="15" t="n">
        <v>23</v>
      </c>
      <c r="D63" s="15" t="n">
        <v>15</v>
      </c>
      <c r="E63" s="15" t="n">
        <v>17</v>
      </c>
      <c r="F63" s="16" t="n">
        <v>350</v>
      </c>
      <c r="G63" s="11" t="n">
        <v>307.8646777777778</v>
      </c>
      <c r="H63" s="17" t="n">
        <v>81.5069</v>
      </c>
      <c r="I63" s="16" t="n">
        <v>-268.4931</v>
      </c>
    </row>
    <row r="64">
      <c r="A64" s="14" t="inlineStr">
        <is>
          <t>April</t>
        </is>
      </c>
      <c r="B64" s="14" t="inlineStr">
        <is>
          <t>Thalia Rojas</t>
        </is>
      </c>
      <c r="C64" s="15" t="n">
        <v>9</v>
      </c>
      <c r="D64" s="15" t="n">
        <v>15</v>
      </c>
      <c r="E64" s="15" t="n">
        <v>17</v>
      </c>
      <c r="F64" s="16" t="n">
        <v>0</v>
      </c>
      <c r="G64" s="11" t="n">
        <v>255.7888888888889</v>
      </c>
      <c r="H64" s="17" t="n">
        <v>117.571</v>
      </c>
      <c r="I64" s="16" t="n">
        <v>117.571</v>
      </c>
    </row>
    <row r="65">
      <c r="A65" s="14" t="inlineStr">
        <is>
          <t>April</t>
        </is>
      </c>
      <c r="B65" s="14" t="inlineStr">
        <is>
          <t>Monica Valdes</t>
        </is>
      </c>
      <c r="C65" s="15" t="n">
        <v>22</v>
      </c>
      <c r="D65" s="15" t="n">
        <v>11</v>
      </c>
      <c r="E65" s="15" t="n">
        <v>13</v>
      </c>
      <c r="F65" s="16" t="n">
        <v>250</v>
      </c>
      <c r="G65" s="11" t="n">
        <v>318.43135</v>
      </c>
      <c r="H65" s="17" t="n">
        <v>100.76975</v>
      </c>
      <c r="I65" s="16" t="n">
        <v>-149.23025</v>
      </c>
    </row>
    <row r="66">
      <c r="A66" s="18" t="inlineStr">
        <is>
          <t>SWAP 4-MONTH TOTAL (6 agents)</t>
        </is>
      </c>
      <c r="F66" s="19" t="n">
        <v>7110</v>
      </c>
      <c r="G66" s="19" t="n">
        <v>8636.835711111113</v>
      </c>
      <c r="H66" s="19" t="n">
        <v>4725.290508333334</v>
      </c>
      <c r="I66" s="19" t="n">
        <v>-2384.709491666666</v>
      </c>
    </row>
    <row r="69">
      <c r="A69" s="5" t="inlineStr">
        <is>
          <t>OWNERSHIP READ</t>
        </is>
      </c>
    </row>
    <row r="70" ht="44" customHeight="1">
      <c r="A70" s="20" t="inlineStr">
        <is>
          <t>REAL DATA TODAY: Current pays $12,220 (broken plan, rewards rewriting). The Bonus Plan WITH MIN pays $2,419 (less, because few agents clear the $45k NB gate today).</t>
        </is>
      </c>
    </row>
    <row r="71" ht="44" customHeight="1">
      <c r="A71" s="20" t="inlineStr">
        <is>
          <t>100% FLIP - 'if you had been renewing instead of rewriting': The Bonus Plan WITH MIN pays $6,475 (53%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Plain English</t>
        </is>
      </c>
    </row>
    <row r="6">
      <c r="A6" s="12" t="inlineStr">
        <is>
          <t>Under $1,200</t>
        </is>
      </c>
      <c r="B6" s="12" t="inlineStr">
        <is>
          <t>$5</t>
        </is>
      </c>
      <c r="C6" s="12" t="inlineStr">
        <is>
          <t>$2</t>
        </is>
      </c>
      <c r="D6" s="12" t="inlineStr">
        <is>
          <t>Low-premium policies earn the base. Smaller bonus.</t>
        </is>
      </c>
    </row>
    <row r="7">
      <c r="A7" s="14" t="inlineStr">
        <is>
          <t>$1,200 - $1,799</t>
        </is>
      </c>
      <c r="B7" s="14" t="inlineStr">
        <is>
          <t>$7</t>
        </is>
      </c>
      <c r="C7" s="14" t="inlineStr">
        <is>
          <t>$3</t>
        </is>
      </c>
      <c r="D7" s="14" t="inlineStr">
        <is>
          <t>Standard FL policies. The bulk of the book.</t>
        </is>
      </c>
    </row>
    <row r="8">
      <c r="A8" s="12" t="inlineStr">
        <is>
          <t>$1,800 - $2,499</t>
        </is>
      </c>
      <c r="B8" s="12" t="inlineStr">
        <is>
          <t>$10</t>
        </is>
      </c>
      <c r="C8" s="12" t="inlineStr">
        <is>
          <t>$4</t>
        </is>
      </c>
      <c r="D8" s="12" t="inlineStr">
        <is>
          <t>Higher premium - more commission for the agency, more bonus for the agent.</t>
        </is>
      </c>
    </row>
    <row r="9">
      <c r="A9" s="14" t="inlineStr">
        <is>
          <t>$2,500 - $2,999</t>
        </is>
      </c>
      <c r="B9" s="14" t="inlineStr">
        <is>
          <t>$13</t>
        </is>
      </c>
      <c r="C9" s="14" t="inlineStr">
        <is>
          <t>$4</t>
        </is>
      </c>
      <c r="D9" s="14" t="inlineStr">
        <is>
          <t>Strong premium business.</t>
        </is>
      </c>
    </row>
    <row r="10">
      <c r="A10" s="12" t="inlineStr">
        <is>
          <t>$3,000+</t>
        </is>
      </c>
      <c r="B10" s="12" t="inlineStr">
        <is>
          <t>$13 + $2/$1k cap $25</t>
        </is>
      </c>
      <c r="C10" s="12" t="inlineStr">
        <is>
          <t>$4</t>
        </is>
      </c>
      <c r="D10" s="12" t="inlineStr">
        <is>
          <t>Commercial / high-end auto. Upside on big premium.</t>
        </is>
      </c>
    </row>
    <row r="11">
      <c r="A11" s="14" t="inlineStr">
        <is>
          <t>Renewals (REN)</t>
        </is>
      </c>
      <c r="B11" s="14" t="inlineStr">
        <is>
          <t>See Section 3</t>
        </is>
      </c>
      <c r="C11" s="14" t="inlineStr">
        <is>
          <t>See Section 3</t>
        </is>
      </c>
      <c r="D11" s="14" t="inlineStr">
        <is>
          <t>Renewals are paid via the RETENTION BONUS only - not per-policy. See Section 3 below.</t>
        </is>
      </c>
    </row>
    <row r="13">
      <c r="A13" s="5" t="inlineStr">
        <is>
          <t>2. PER-POLICY COLLECTED INCENTIVE (only on NB and RWR policies with premium &gt; $1,200)</t>
        </is>
      </c>
    </row>
    <row r="14">
      <c r="A14" s="6" t="inlineStr">
        <is>
          <t>Collected % of premium</t>
        </is>
      </c>
      <c r="B14" s="6" t="inlineStr">
        <is>
          <t>Extra per policy</t>
        </is>
      </c>
      <c r="C14" s="6" t="inlineStr">
        <is>
          <t>Why</t>
        </is>
      </c>
      <c r="D14" s="6" t="inlineStr">
        <is>
          <t>Example</t>
        </is>
      </c>
    </row>
    <row r="15">
      <c r="A15" s="14" t="inlineStr">
        <is>
          <t>Below 15%</t>
        </is>
      </c>
      <c r="B15" s="14" t="inlineStr">
        <is>
          <t>$0 (no incentive)</t>
        </is>
      </c>
      <c r="C15" s="14" t="inlineStr">
        <is>
          <t>Premium barely collected. No incentive.</t>
        </is>
      </c>
      <c r="D15" s="14" t="inlineStr">
        <is>
          <t>$1,500 policy, 10% down -&gt; $0 incentive</t>
        </is>
      </c>
    </row>
    <row r="16">
      <c r="A16" s="12" t="inlineStr">
        <is>
          <t>15% to 19%</t>
        </is>
      </c>
      <c r="B16" s="12" t="inlineStr">
        <is>
          <t>+$1 per policy</t>
        </is>
      </c>
      <c r="C16" s="12" t="inlineStr">
        <is>
          <t>Minimum down. Small bump.</t>
        </is>
      </c>
      <c r="D16" s="12" t="inlineStr">
        <is>
          <t>$1,500 policy, 17% down -&gt; +$1</t>
        </is>
      </c>
    </row>
    <row r="17">
      <c r="A17" s="14" t="inlineStr">
        <is>
          <t>20% to 24%</t>
        </is>
      </c>
      <c r="B17" s="14" t="inlineStr">
        <is>
          <t>+$2 per policy</t>
        </is>
      </c>
      <c r="C17" s="14" t="inlineStr">
        <is>
          <t>Standard down. Standard bump.</t>
        </is>
      </c>
      <c r="D17" s="14" t="inlineStr">
        <is>
          <t>$1,500 policy, 22% down -&gt; +$2</t>
        </is>
      </c>
    </row>
    <row r="18">
      <c r="A18" s="12" t="inlineStr">
        <is>
          <t>25% to 99%</t>
        </is>
      </c>
      <c r="B18" s="12" t="inlineStr">
        <is>
          <t>+$5 per policy</t>
        </is>
      </c>
      <c r="C18" s="12" t="inlineStr">
        <is>
          <t>High collection. Big bump.</t>
        </is>
      </c>
      <c r="D18" s="12" t="inlineStr">
        <is>
          <t>$1,500 policy, 30% down -&gt; +$5</t>
        </is>
      </c>
    </row>
    <row r="19">
      <c r="A19" s="14" t="inlineStr">
        <is>
          <t>100% PIF</t>
        </is>
      </c>
      <c r="B19" s="14" t="inlineStr">
        <is>
          <t>+$8 per policy</t>
        </is>
      </c>
      <c r="C19" s="14" t="inlineStr">
        <is>
          <t>Paid in full. Zero chargeback risk. Top incentive.</t>
        </is>
      </c>
      <c r="D19" s="14" t="inlineStr">
        <is>
          <t>$1,500 policy PIF -&gt; +$8</t>
        </is>
      </c>
    </row>
    <row r="20">
      <c r="A20" s="12" t="inlineStr">
        <is>
          <t>Policy with premium &lt;= $1,200</t>
        </is>
      </c>
      <c r="B20" s="12" t="inlineStr">
        <is>
          <t>$0 incentive</t>
        </is>
      </c>
      <c r="C20" s="12" t="inlineStr">
        <is>
          <t>Low-premium policies do not earn the incentive.</t>
        </is>
      </c>
      <c r="D20" s="12" t="inlineStr">
        <is>
          <t>$800 policy at 50% -&gt; base only</t>
        </is>
      </c>
    </row>
    <row r="22">
      <c r="A22" s="5" t="inlineStr">
        <is>
          <t>3. BOOK RETENTION BONUS (separate, not gated by monthly minimums)</t>
        </is>
      </c>
    </row>
    <row r="23">
      <c r="A23" s="6" t="inlineStr">
        <is>
          <t>Component</t>
        </is>
      </c>
      <c r="B23" s="6" t="inlineStr">
        <is>
          <t>Value</t>
        </is>
      </c>
      <c r="C23" s="6" t="inlineStr">
        <is>
          <t>Math</t>
        </is>
      </c>
    </row>
    <row r="24">
      <c r="A24" s="12" t="inlineStr">
        <is>
          <t>Formula</t>
        </is>
      </c>
      <c r="B24" s="12" t="inlineStr">
        <is>
          <t>REN written premium x 0.5%</t>
        </is>
      </c>
      <c r="C24" s="12" t="inlineStr">
        <is>
          <t>Bonus = $5 per $1,000 of REN premium retained. This is the ONLY renewal pay - no per-policy REN base or collected incentive.</t>
        </is>
      </c>
    </row>
    <row r="25">
      <c r="A25" s="14" t="inlineStr">
        <is>
          <t>Scales with book SIZE</t>
        </is>
      </c>
      <c r="B25" s="14" t="inlineStr">
        <is>
          <t>A $50k REN month -&gt; $250 bonus. A $25k REN month -&gt; $125 bonus.</t>
        </is>
      </c>
      <c r="C25" s="14" t="inlineStr">
        <is>
          <t>Bigger book = bigger bonus. Agent with 40 renewals at $50k earns more than agent with 20 renewals at $25k.</t>
        </is>
      </c>
    </row>
    <row r="26">
      <c r="A26" s="12" t="inlineStr">
        <is>
          <t>Scales with PREMIUM</t>
        </is>
      </c>
      <c r="B26" s="12" t="inlineStr">
        <is>
          <t>A $2,000 renewal contributes $10 to the bonus. A $1,000 renewal contributes $5.</t>
        </is>
      </c>
      <c r="C26" s="12" t="inlineStr">
        <is>
          <t>Higher-premium renewals are worth more to the agency, so they earn more bonus.</t>
        </is>
      </c>
    </row>
    <row r="27">
      <c r="A27" s="14" t="inlineStr">
        <is>
          <t>Scales with RETENTION rate</t>
        </is>
      </c>
      <c r="B27" s="14" t="inlineStr">
        <is>
          <t>More renewed = bigger REN premium = bigger bonus</t>
        </is>
      </c>
      <c r="C27" s="14" t="inlineStr">
        <is>
          <t>Both rate and absolute volume drive the bonus through the same formula.</t>
        </is>
      </c>
    </row>
    <row r="28">
      <c r="A28" s="12" t="inlineStr">
        <is>
          <t>Retention rate threshold</t>
        </is>
      </c>
      <c r="B28" s="12" t="inlineStr">
        <is>
          <t>&gt;= 30% to qualify</t>
        </is>
      </c>
      <c r="C28" s="12" t="inlineStr">
        <is>
          <t>Agent must retain at least 30% of their book to earn the retention bonus.</t>
        </is>
      </c>
    </row>
    <row r="29">
      <c r="A29" s="14" t="inlineStr">
        <is>
          <t>Minimum gate</t>
        </is>
      </c>
      <c r="B29" s="14" t="inlineStr">
        <is>
          <t>NOT gated by NB minimum</t>
        </is>
      </c>
      <c r="C29" s="14" t="inlineStr">
        <is>
          <t>Retention bonus pays regardless of monthly NB volume - it rewards keeping the book intact over time.</t>
        </is>
      </c>
    </row>
    <row r="31">
      <c r="A31" s="5" t="inlineStr">
        <is>
          <t>4. RULES THAT APPLY ON TOP</t>
        </is>
      </c>
    </row>
    <row r="32">
      <c r="A32" s="6" t="inlineStr">
        <is>
          <t>Rule</t>
        </is>
      </c>
      <c r="B32" s="6" t="inlineStr">
        <is>
          <t>Value</t>
        </is>
      </c>
      <c r="C32" s="6" t="inlineStr">
        <is>
          <t>How it works</t>
        </is>
      </c>
    </row>
    <row r="33">
      <c r="A33" s="14" t="inlineStr">
        <is>
          <t>Monthly Minimum - NB</t>
        </is>
      </c>
      <c r="B33" s="14" t="inlineStr">
        <is>
          <t>$45,000 written premium</t>
        </is>
      </c>
      <c r="C33" s="14" t="inlineStr">
        <is>
          <t>NB base + NB collected paid ONLY if NB premium clears this gate this month.</t>
        </is>
      </c>
    </row>
    <row r="34">
      <c r="A34" s="12" t="inlineStr">
        <is>
          <t>Monthly Minimum - REN</t>
        </is>
      </c>
      <c r="B34" s="12" t="inlineStr">
        <is>
          <t>Retain &gt;= 30% of agent's book</t>
        </is>
      </c>
      <c r="C34" s="12" t="inlineStr">
        <is>
          <t>Retention bonus paid ONLY if the agent retained at least 30% of their assigned book this month.</t>
        </is>
      </c>
    </row>
    <row r="35">
      <c r="A35" s="14" t="inlineStr">
        <is>
          <t>Monthly Minimum - RWR</t>
        </is>
      </c>
      <c r="B35" s="14" t="inlineStr">
        <is>
          <t>NB gate met (or both)</t>
        </is>
      </c>
      <c r="C35" s="14" t="inlineStr">
        <is>
          <t>RWR base + RWR collected paid ONLY if NB gate met. Meeting both NB and REN also works.</t>
        </is>
      </c>
    </row>
    <row r="36">
      <c r="A36" s="12" t="inlineStr">
        <is>
          <t>Retention Bonus exception</t>
        </is>
      </c>
      <c r="B36" s="12" t="inlineStr">
        <is>
          <t>Always paid</t>
        </is>
      </c>
      <c r="C36" s="12" t="inlineStr">
        <is>
          <t>Retention bonus is paid regardless of monthly minimums - it tracks long-term book persistency.</t>
        </is>
      </c>
    </row>
    <row r="37">
      <c r="A37" s="14" t="inlineStr">
        <is>
          <t>Chargeback</t>
        </is>
      </c>
      <c r="B37" s="14" t="inlineStr">
        <is>
          <t>3 months (90 days)</t>
        </is>
      </c>
      <c r="C37" s="14" t="inlineStr">
        <is>
          <t>100% of the paid bonus on a policy is REVERSED if the policy cancels/rewrites within 90 days of effective date.</t>
        </is>
      </c>
    </row>
    <row r="38">
      <c r="A38" s="12" t="inlineStr">
        <is>
          <t>Excel Tracker</t>
        </is>
      </c>
      <c r="B38" s="12" t="inlineStr">
        <is>
          <t>Required for every policy</t>
        </is>
      </c>
      <c r="C38" s="12" t="inlineStr">
        <is>
          <t>Agent must enter policy info, down payment, and premium in the manual tracker. No entry = no bonus on that policy.</t>
        </is>
      </c>
    </row>
    <row r="39">
      <c r="A39" s="14" t="inlineStr">
        <is>
          <t>Renewal Book of Business</t>
        </is>
      </c>
      <c r="B39" s="14" t="inlineStr">
        <is>
          <t>Assigned per agent</t>
        </is>
      </c>
      <c r="C39" s="14" t="inlineStr">
        <is>
          <t>Each agent has an assigned renewal book. Newer agents who do not have their own renewals get a book reassigned from former employees. The agent is responsible for renewing that book.</t>
        </is>
      </c>
    </row>
    <row r="41">
      <c r="A41" s="5" t="inlineStr">
        <is>
          <t>5. WORKED EXAMPLE - Dialinerys Dieguez, March 2026</t>
        </is>
      </c>
    </row>
    <row r="42">
      <c r="A42" s="6" t="inlineStr">
        <is>
          <t>Step</t>
        </is>
      </c>
      <c r="B42" s="6" t="inlineStr">
        <is>
          <t>Math</t>
        </is>
      </c>
      <c r="C42" s="6" t="inlineStr">
        <is>
          <t>Result</t>
        </is>
      </c>
    </row>
    <row r="43" ht="24" customHeight="1">
      <c r="A43" s="14" t="inlineStr">
        <is>
          <t>Volumes</t>
        </is>
      </c>
      <c r="B43" s="14" t="inlineStr">
        <is>
          <t>NB 38 ($52,435 written, $10,547 collected = 20.1%, avg policy $1,380)</t>
        </is>
      </c>
      <c r="C43" s="14" t="inlineStr"/>
    </row>
    <row r="44" ht="24" customHeight="1">
      <c r="A44" s="12" t="inlineStr">
        <is>
          <t>Volumes</t>
        </is>
      </c>
      <c r="B44" s="12" t="inlineStr">
        <is>
          <t>RWR 69 ($96,228 written, $19,700 collected = 20.5%, avg policy $1,395)</t>
        </is>
      </c>
      <c r="C44" s="12" t="inlineStr"/>
    </row>
    <row r="45" ht="24" customHeight="1">
      <c r="A45" s="14" t="inlineStr">
        <is>
          <t>Volumes</t>
        </is>
      </c>
      <c r="B45" s="14" t="inlineStr">
        <is>
          <t>REN 7 ($5,962 written, $3,080 collected = 51.7%, avg policy $852)</t>
        </is>
      </c>
      <c r="C45" s="14" t="inlineStr"/>
    </row>
    <row r="46" ht="24" customHeight="1">
      <c r="A46" s="12" t="inlineStr">
        <is>
          <t>NB base (tier)</t>
        </is>
      </c>
      <c r="B46" s="12" t="inlineStr">
        <is>
          <t>38 policies in tier "$1,200-$1,799" x $7</t>
        </is>
      </c>
      <c r="C46" s="12" t="inlineStr">
        <is>
          <t>$266</t>
        </is>
      </c>
    </row>
    <row r="47" ht="24" customHeight="1">
      <c r="A47" s="14" t="inlineStr">
        <is>
          <t>NB collected incentive</t>
        </is>
      </c>
      <c r="B47" s="14" t="inlineStr">
        <is>
          <t>~43% of policies &gt;$1,200, collected 20% -&gt; +$2/policy</t>
        </is>
      </c>
      <c r="C47" s="14" t="inlineStr">
        <is>
          <t>$33</t>
        </is>
      </c>
    </row>
    <row r="48" ht="24" customHeight="1">
      <c r="A48" s="12" t="inlineStr">
        <is>
          <t>REN base / collected</t>
        </is>
      </c>
      <c r="B48" s="12" t="inlineStr">
        <is>
          <t>No per-policy REN pay - renewals are paid via retention bonus only</t>
        </is>
      </c>
      <c r="C48" s="12" t="inlineStr">
        <is>
          <t>$0</t>
        </is>
      </c>
    </row>
    <row r="49" ht="24" customHeight="1">
      <c r="A49" s="14" t="inlineStr">
        <is>
          <t>RWR base (tier)</t>
        </is>
      </c>
      <c r="B49" s="14" t="inlineStr">
        <is>
          <t>69 policies in tier "$1,200-$1,799" x $3</t>
        </is>
      </c>
      <c r="C49" s="14" t="inlineStr">
        <is>
          <t>$207</t>
        </is>
      </c>
    </row>
    <row r="50" ht="24" customHeight="1">
      <c r="A50" s="12" t="inlineStr">
        <is>
          <t>RWR collected incentive</t>
        </is>
      </c>
      <c r="B50" s="12" t="inlineStr">
        <is>
          <t>~44% &gt;$1,200, collected 20% -&gt; +$2/policy</t>
        </is>
      </c>
      <c r="C50" s="12" t="inlineStr">
        <is>
          <t>$61</t>
        </is>
      </c>
    </row>
    <row r="51" ht="24" customHeight="1">
      <c r="A51" s="14" t="inlineStr">
        <is>
          <t>Retention bonus (renewal pay)</t>
        </is>
      </c>
      <c r="B51" s="14" t="inlineStr">
        <is>
          <t>REN $5,962 x 0.5% = $29.81</t>
        </is>
      </c>
      <c r="C51" s="14" t="inlineStr">
        <is>
          <t>$30</t>
        </is>
      </c>
    </row>
    <row r="52" ht="24" customHeight="1">
      <c r="A52" s="12" t="inlineStr">
        <is>
          <t>Subtotal target</t>
        </is>
      </c>
      <c r="B52" s="12" t="inlineStr">
        <is>
          <t>(everything before gates)</t>
        </is>
      </c>
      <c r="C52" s="12" t="inlineStr">
        <is>
          <t>$597</t>
        </is>
      </c>
    </row>
    <row r="53" ht="24" customHeight="1">
      <c r="A53" s="14" t="inlineStr">
        <is>
          <t>NB gate ($45,000)</t>
        </is>
      </c>
      <c r="B53" s="14" t="inlineStr">
        <is>
          <t>NB written $52,435 vs $45,000</t>
        </is>
      </c>
      <c r="C53" s="23" t="inlineStr">
        <is>
          <t>PASS</t>
        </is>
      </c>
    </row>
    <row r="54" ht="24" customHeight="1">
      <c r="A54" s="12" t="inlineStr">
        <is>
          <t>REN gate (&gt;= 30% retention)</t>
        </is>
      </c>
      <c r="B54" s="12" t="inlineStr">
        <is>
          <t>Assumed retention 75% vs 30%</t>
        </is>
      </c>
      <c r="C54" s="23" t="inlineStr">
        <is>
          <t>PASS</t>
        </is>
      </c>
    </row>
    <row r="55" ht="24" customHeight="1">
      <c r="A55" s="14" t="inlineStr">
        <is>
          <t>RWR gate (both)</t>
        </is>
      </c>
      <c r="B55" s="14" t="inlineStr">
        <is>
          <t>Both NB and REN gates passed?</t>
        </is>
      </c>
      <c r="C55" s="23" t="inlineStr">
        <is>
          <t>PASS</t>
        </is>
      </c>
    </row>
    <row r="56" ht="24" customHeight="1">
      <c r="A56" s="24" t="inlineStr">
        <is>
          <t>FINAL PAID</t>
        </is>
      </c>
      <c r="B56" s="24" t="inlineStr">
        <is>
          <t>Pay only the lines whose gates passed + retention bonus</t>
        </is>
      </c>
      <c r="C56" s="24" t="inlineStr">
        <is>
          <t>$596.66</t>
        </is>
      </c>
    </row>
  </sheetData>
  <mergeCells count="7">
    <mergeCell ref="A13:G13"/>
    <mergeCell ref="A1:G1"/>
    <mergeCell ref="A31:G31"/>
    <mergeCell ref="A22:G22"/>
    <mergeCell ref="A4:G4"/>
    <mergeCell ref="A2:G2"/>
    <mergeCell ref="A41:G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38.025</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37.585</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297.2023333333333</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54.67995</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62.65235</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58.1484</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596.6605555555556</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582.3841666666667</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5.315</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5.17</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7.32175</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10.495</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4.425</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18.45</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37.23</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28.2195</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18.085</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32.51455</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15.46</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496.1624666666667</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12.57</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106.82125</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114.1925</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327.5893333333333</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93.08482500000001</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226.8408</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272.0099</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704.4379027777777</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624.3457555555556</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158.43625</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130.29175</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147.3215</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108.4905</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106.216875</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119.713625</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58.81675000000001</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81.5069</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101.159825</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107.9754</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77.821625</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117.571</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154.04695</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133.53045</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552.2990916666666</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100.76975</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THE NEW BONUS PLAN - the renewal NOW pays</t>
        </is>
      </c>
    </row>
    <row r="18">
      <c r="A18" s="6" t="inlineStr">
        <is>
          <t>Scenario</t>
        </is>
      </c>
      <c r="B18" s="6" t="inlineStr">
        <is>
          <t>NB target</t>
        </is>
      </c>
      <c r="C18" s="6" t="inlineStr">
        <is>
          <t>RWR target</t>
        </is>
      </c>
      <c r="D18" s="6" t="inlineStr">
        <is>
          <t>Retention bonus</t>
        </is>
      </c>
      <c r="E18" s="6" t="inlineStr">
        <is>
          <t>Total target</t>
        </is>
      </c>
      <c r="F18" s="6" t="inlineStr">
        <is>
          <t>WITH MIN paid</t>
        </is>
      </c>
    </row>
    <row r="19">
      <c r="A19" s="14" t="inlineStr">
        <is>
          <t>REAL (today)</t>
        </is>
      </c>
      <c r="B19" s="14" t="inlineStr">
        <is>
          <t>$299</t>
        </is>
      </c>
      <c r="C19" s="14" t="inlineStr">
        <is>
          <t>$268</t>
        </is>
      </c>
      <c r="D19" s="14" t="inlineStr">
        <is>
          <t>$30</t>
        </is>
      </c>
      <c r="E19" s="14" t="inlineStr">
        <is>
          <t>$597</t>
        </is>
      </c>
      <c r="F19" s="14" t="inlineStr">
        <is>
          <t>$597</t>
        </is>
      </c>
    </row>
    <row r="20">
      <c r="A20" s="25" t="inlineStr">
        <is>
          <t>SWAP (50% RWR -&gt; REN)</t>
        </is>
      </c>
      <c r="B20" s="25" t="inlineStr">
        <is>
          <t>$299</t>
        </is>
      </c>
      <c r="C20" s="25" t="inlineStr">
        <is>
          <t>$135</t>
        </is>
      </c>
      <c r="D20" s="25" t="inlineStr">
        <is>
          <t>$270</t>
        </is>
      </c>
      <c r="E20" s="25" t="inlineStr">
        <is>
          <t>$704</t>
        </is>
      </c>
      <c r="F20" s="25" t="inlineStr">
        <is>
          <t>$704</t>
        </is>
      </c>
    </row>
    <row r="21">
      <c r="A21" s="28" t="inlineStr">
        <is>
          <t>DELTA</t>
        </is>
      </c>
      <c r="B21" s="28" t="inlineStr"/>
      <c r="C21" s="28" t="inlineStr">
        <is>
          <t>-$133</t>
        </is>
      </c>
      <c r="D21" s="28" t="inlineStr">
        <is>
          <t>+$241</t>
        </is>
      </c>
      <c r="E21" s="28" t="inlineStr">
        <is>
          <t>+$108</t>
        </is>
      </c>
      <c r="F21" s="28" t="inlineStr">
        <is>
          <t>+$108</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the new bonus plan, the agent gets MORE for the same behavior change - because the retention bonus pays for the premium retained instead of paying $0 like today.</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1" customWidth="1" min="2" max="2"/>
    <col width="13" customWidth="1" min="3" max="3"/>
    <col width="13" customWidth="1" min="4" max="4"/>
    <col width="11" customWidth="1" min="5" max="5"/>
    <col width="11" customWidth="1" min="6" max="6"/>
    <col width="13" customWidth="1" min="7" max="7"/>
    <col width="16" customWidth="1" min="8" max="8"/>
    <col width="12" customWidth="1" min="9" max="9"/>
    <col width="14" customWidth="1" min="10" max="10"/>
    <col width="8" customWidth="1" min="11" max="11"/>
    <col width="12" customWidth="1" min="12" max="12"/>
    <col width="11" customWidth="1" min="13" max="13"/>
    <col width="13" customWidth="1" min="14" max="14"/>
  </cols>
  <sheetData>
    <row r="1">
      <c r="A1" s="1" t="inlineStr">
        <is>
          <t>Agent Examples - REAL Jan-Apr 2026 data</t>
        </is>
      </c>
    </row>
    <row r="2">
      <c r="A2" s="4" t="inlineStr">
        <is>
          <t>Actual NB/RWR/REN volumes from the source data, calculated under the new bonus plan.</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row>
    <row r="11">
      <c r="A11" s="32" t="inlineStr">
        <is>
          <t>THE BONUS PLAN - bonus calculation</t>
        </is>
      </c>
    </row>
    <row r="12">
      <c r="A12" s="6" t="inlineStr">
        <is>
          <t>Month</t>
        </is>
      </c>
      <c r="B12" s="6" t="inlineStr">
        <is>
          <t>NB base</t>
        </is>
      </c>
      <c r="C12" s="6" t="inlineStr">
        <is>
          <t>NB kicker</t>
        </is>
      </c>
      <c r="D12" s="6" t="inlineStr">
        <is>
          <t>NB target</t>
        </is>
      </c>
      <c r="E12" s="6" t="inlineStr">
        <is>
          <t>RWR base</t>
        </is>
      </c>
      <c r="F12" s="6" t="inlineStr">
        <is>
          <t>RWR kicker</t>
        </is>
      </c>
      <c r="G12" s="6" t="inlineStr">
        <is>
          <t>RWR target</t>
        </is>
      </c>
      <c r="H12" s="6" t="inlineStr">
        <is>
          <t>Retention bonus</t>
        </is>
      </c>
      <c r="I12" s="6" t="inlineStr">
        <is>
          <t>Total target</t>
        </is>
      </c>
      <c r="J12" s="6" t="inlineStr">
        <is>
          <t>PAID after MIN</t>
        </is>
      </c>
      <c r="K12" s="6" t="inlineStr">
        <is>
          <t>Gates</t>
        </is>
      </c>
      <c r="L12" s="6" t="inlineStr">
        <is>
          <t>vs Current</t>
        </is>
      </c>
      <c r="M12" s="6" t="inlineStr">
        <is>
          <t>Current</t>
        </is>
      </c>
    </row>
    <row r="13">
      <c r="A13" s="12" t="inlineStr">
        <is>
          <t>January</t>
        </is>
      </c>
      <c r="B13" s="11" t="n">
        <v>175</v>
      </c>
      <c r="C13" s="11" t="n">
        <v>0</v>
      </c>
      <c r="D13" s="11" t="n">
        <v>175</v>
      </c>
      <c r="E13" s="11" t="n">
        <v>51</v>
      </c>
      <c r="F13" s="11" t="n">
        <v>19.24277777777778</v>
      </c>
      <c r="G13" s="11" t="n">
        <v>70.24277777777777</v>
      </c>
      <c r="H13" s="11" t="n">
        <v>38.025</v>
      </c>
      <c r="I13" s="11" t="n">
        <v>283.2677777777778</v>
      </c>
      <c r="J13" s="17" t="n">
        <v>38.025</v>
      </c>
      <c r="K13" s="33" t="inlineStr">
        <is>
          <t>n/Y/n</t>
        </is>
      </c>
      <c r="L13" s="11" t="n">
        <v>-311.975</v>
      </c>
      <c r="M13" s="11" t="n">
        <v>350</v>
      </c>
    </row>
    <row r="14">
      <c r="A14" s="12" t="inlineStr">
        <is>
          <t>February</t>
        </is>
      </c>
      <c r="B14" s="11" t="n">
        <v>130</v>
      </c>
      <c r="C14" s="11" t="n">
        <v>0</v>
      </c>
      <c r="D14" s="11" t="n">
        <v>130</v>
      </c>
      <c r="E14" s="11" t="n">
        <v>57</v>
      </c>
      <c r="F14" s="11" t="n">
        <v>0</v>
      </c>
      <c r="G14" s="11" t="n">
        <v>57</v>
      </c>
      <c r="H14" s="11" t="n">
        <v>37.585</v>
      </c>
      <c r="I14" s="11" t="n">
        <v>224.585</v>
      </c>
      <c r="J14" s="17" t="n">
        <v>37.585</v>
      </c>
      <c r="K14" s="33" t="inlineStr">
        <is>
          <t>n/Y/n</t>
        </is>
      </c>
      <c r="L14" s="11" t="n">
        <v>-212.415</v>
      </c>
      <c r="M14" s="11" t="n">
        <v>250</v>
      </c>
    </row>
    <row r="15">
      <c r="A15" s="12" t="inlineStr">
        <is>
          <t>March</t>
        </is>
      </c>
      <c r="B15" s="11" t="n">
        <v>210</v>
      </c>
      <c r="C15" s="11" t="n">
        <v>0</v>
      </c>
      <c r="D15" s="11" t="n">
        <v>210</v>
      </c>
      <c r="E15" s="11" t="n">
        <v>51</v>
      </c>
      <c r="F15" s="11" t="n">
        <v>16.69733333333333</v>
      </c>
      <c r="G15" s="11" t="n">
        <v>67.69733333333333</v>
      </c>
      <c r="H15" s="11" t="n">
        <v>19.505</v>
      </c>
      <c r="I15" s="11" t="n">
        <v>297.2023333333333</v>
      </c>
      <c r="J15" s="17" t="n">
        <v>297.2023333333333</v>
      </c>
      <c r="K15" s="23" t="inlineStr">
        <is>
          <t>Y/Y/Y</t>
        </is>
      </c>
      <c r="L15" s="11" t="n">
        <v>-52.79766666666666</v>
      </c>
      <c r="M15" s="11" t="n">
        <v>350</v>
      </c>
    </row>
    <row r="16">
      <c r="A16" s="12" t="inlineStr">
        <is>
          <t>April</t>
        </is>
      </c>
      <c r="B16" s="11" t="n">
        <v>189</v>
      </c>
      <c r="C16" s="11" t="n">
        <v>24.02881111111111</v>
      </c>
      <c r="D16" s="11" t="n">
        <v>213.0288111111111</v>
      </c>
      <c r="E16" s="11" t="n">
        <v>30</v>
      </c>
      <c r="F16" s="11" t="n">
        <v>17.67208333333334</v>
      </c>
      <c r="G16" s="11" t="n">
        <v>47.67208333333333</v>
      </c>
      <c r="H16" s="11" t="n">
        <v>54.67995</v>
      </c>
      <c r="I16" s="11" t="n">
        <v>315.3808444444444</v>
      </c>
      <c r="J16" s="17" t="n">
        <v>54.67995</v>
      </c>
      <c r="K16" s="33" t="inlineStr">
        <is>
          <t>n/Y/n</t>
        </is>
      </c>
      <c r="L16" s="11" t="n">
        <v>-295.32005</v>
      </c>
      <c r="M16" s="11" t="n">
        <v>350</v>
      </c>
    </row>
    <row r="17">
      <c r="A17" s="18" t="inlineStr">
        <is>
          <t>4-Month Total</t>
        </is>
      </c>
      <c r="B17" s="34" t="n"/>
      <c r="C17" s="34" t="n"/>
      <c r="D17" s="34" t="n"/>
      <c r="E17" s="34" t="n"/>
      <c r="F17" s="34" t="n"/>
      <c r="G17" s="34" t="n"/>
      <c r="H17" s="34" t="n"/>
      <c r="I17" s="19" t="n">
        <v>1120.435955555555</v>
      </c>
      <c r="J17" s="19" t="n">
        <v>427.4922833333334</v>
      </c>
      <c r="K17" s="34" t="n"/>
      <c r="L17" s="19" t="n">
        <v>-872.5077166666666</v>
      </c>
      <c r="M17" s="19" t="n">
        <v>1300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48</v>
      </c>
      <c r="G22" s="16" t="n">
        <v>65675.38</v>
      </c>
      <c r="H22" s="16" t="n">
        <v>10936.32</v>
      </c>
      <c r="I22" s="31" t="n">
        <v>0.1665208484518856</v>
      </c>
      <c r="J22" s="15" t="n">
        <v>11</v>
      </c>
      <c r="K22" s="16" t="n">
        <v>12530.47</v>
      </c>
      <c r="L22" s="16" t="n">
        <v>4951.59</v>
      </c>
      <c r="M22" s="31" t="n">
        <v>0.395163948359479</v>
      </c>
      <c r="N22" s="16" t="n">
        <v>1749.967826086957</v>
      </c>
    </row>
    <row r="23">
      <c r="A23" s="14" t="inlineStr">
        <is>
          <t>February</t>
        </is>
      </c>
      <c r="B23" s="15" t="n">
        <v>23</v>
      </c>
      <c r="C23" s="16" t="n">
        <v>30057.89</v>
      </c>
      <c r="D23" s="16" t="n">
        <v>5766.72</v>
      </c>
      <c r="E23" s="31" t="n">
        <v>0.1918537861440041</v>
      </c>
      <c r="F23" s="15" t="n">
        <v>56</v>
      </c>
      <c r="G23" s="16" t="n">
        <v>85544.60000000001</v>
      </c>
      <c r="H23" s="16" t="n">
        <v>13931.43</v>
      </c>
      <c r="I23" s="31" t="n">
        <v>0.1628557500999478</v>
      </c>
      <c r="J23" s="15" t="n">
        <v>9</v>
      </c>
      <c r="K23" s="16" t="n">
        <v>11629.68</v>
      </c>
      <c r="L23" s="16" t="n">
        <v>1937.6</v>
      </c>
      <c r="M23" s="31" t="n">
        <v>0.1666081955823376</v>
      </c>
      <c r="N23" s="16" t="n">
        <v>1306.864782608696</v>
      </c>
    </row>
    <row r="24">
      <c r="A24" s="14" t="inlineStr">
        <is>
          <t>March</t>
        </is>
      </c>
      <c r="B24" s="15" t="n">
        <v>38</v>
      </c>
      <c r="C24" s="16" t="n">
        <v>52434.9</v>
      </c>
      <c r="D24" s="16" t="n">
        <v>10546.59</v>
      </c>
      <c r="E24" s="31" t="n">
        <v>0.2011368382508596</v>
      </c>
      <c r="F24" s="15" t="n">
        <v>69</v>
      </c>
      <c r="G24" s="16" t="n">
        <v>96228.35000000001</v>
      </c>
      <c r="H24" s="16" t="n">
        <v>19700.38</v>
      </c>
      <c r="I24" s="31" t="n">
        <v>0.2047253226310126</v>
      </c>
      <c r="J24" s="15" t="n">
        <v>7</v>
      </c>
      <c r="K24" s="16" t="n">
        <v>5962.5</v>
      </c>
      <c r="L24" s="16" t="n">
        <v>3080</v>
      </c>
      <c r="M24" s="31" t="n">
        <v>0.5165618448637317</v>
      </c>
      <c r="N24" s="16" t="n">
        <v>1379.865789473684</v>
      </c>
    </row>
    <row r="25">
      <c r="A25" s="14" t="inlineStr">
        <is>
          <t>April</t>
        </is>
      </c>
      <c r="B25" s="15" t="n">
        <v>33</v>
      </c>
      <c r="C25" s="16" t="n">
        <v>49689.35</v>
      </c>
      <c r="D25" s="16" t="n">
        <v>8831.440000000001</v>
      </c>
      <c r="E25" s="31" t="n">
        <v>0.1777330554736579</v>
      </c>
      <c r="F25" s="15" t="n">
        <v>44</v>
      </c>
      <c r="G25" s="16" t="n">
        <v>64165.43</v>
      </c>
      <c r="H25" s="16" t="n">
        <v>16668.05</v>
      </c>
      <c r="I25" s="31" t="n">
        <v>0.2597668245969831</v>
      </c>
      <c r="J25" s="15" t="n">
        <v>2</v>
      </c>
      <c r="K25" s="16" t="n">
        <v>19575</v>
      </c>
      <c r="L25" s="16" t="n">
        <v>2939.65</v>
      </c>
      <c r="M25" s="31" t="n">
        <v>0.1501736909323116</v>
      </c>
      <c r="N25" s="16" t="n">
        <v>1505.737878787879</v>
      </c>
    </row>
    <row r="27">
      <c r="A27" s="32" t="inlineStr">
        <is>
          <t>THE BONUS PLAN - bonus calculation</t>
        </is>
      </c>
    </row>
    <row r="28">
      <c r="A28" s="6" t="inlineStr">
        <is>
          <t>Month</t>
        </is>
      </c>
      <c r="B28" s="6" t="inlineStr">
        <is>
          <t>NB base</t>
        </is>
      </c>
      <c r="C28" s="6" t="inlineStr">
        <is>
          <t>NB kicker</t>
        </is>
      </c>
      <c r="D28" s="6" t="inlineStr">
        <is>
          <t>NB target</t>
        </is>
      </c>
      <c r="E28" s="6" t="inlineStr">
        <is>
          <t>RWR base</t>
        </is>
      </c>
      <c r="F28" s="6" t="inlineStr">
        <is>
          <t>RWR kicker</t>
        </is>
      </c>
      <c r="G28" s="6" t="inlineStr">
        <is>
          <t>RWR target</t>
        </is>
      </c>
      <c r="H28" s="6" t="inlineStr">
        <is>
          <t>Retention bonus</t>
        </is>
      </c>
      <c r="I28" s="6" t="inlineStr">
        <is>
          <t>Total target</t>
        </is>
      </c>
      <c r="J28" s="6" t="inlineStr">
        <is>
          <t>PAID after MIN</t>
        </is>
      </c>
      <c r="K28" s="6" t="inlineStr">
        <is>
          <t>Gates</t>
        </is>
      </c>
      <c r="L28" s="6" t="inlineStr">
        <is>
          <t>vs Current</t>
        </is>
      </c>
      <c r="M28" s="6" t="inlineStr">
        <is>
          <t>Current</t>
        </is>
      </c>
    </row>
    <row r="29">
      <c r="A29" s="12" t="inlineStr">
        <is>
          <t>January</t>
        </is>
      </c>
      <c r="B29" s="11" t="n">
        <v>161</v>
      </c>
      <c r="C29" s="11" t="n">
        <v>0</v>
      </c>
      <c r="D29" s="11" t="n">
        <v>161</v>
      </c>
      <c r="E29" s="11" t="n">
        <v>144</v>
      </c>
      <c r="F29" s="11" t="n">
        <v>20.48632222222222</v>
      </c>
      <c r="G29" s="11" t="n">
        <v>164.4863222222222</v>
      </c>
      <c r="H29" s="11" t="n">
        <v>62.65235</v>
      </c>
      <c r="I29" s="11" t="n">
        <v>388.1386722222222</v>
      </c>
      <c r="J29" s="17" t="n">
        <v>62.65235</v>
      </c>
      <c r="K29" s="33" t="inlineStr">
        <is>
          <t>n/Y/n</t>
        </is>
      </c>
      <c r="L29" s="11" t="n">
        <v>-597.34765</v>
      </c>
      <c r="M29" s="11" t="n">
        <v>660</v>
      </c>
    </row>
    <row r="30">
      <c r="A30" s="12" t="inlineStr">
        <is>
          <t>February</t>
        </is>
      </c>
      <c r="B30" s="11" t="n">
        <v>161</v>
      </c>
      <c r="C30" s="11" t="n">
        <v>9.03216111111111</v>
      </c>
      <c r="D30" s="11" t="n">
        <v>170.0321611111111</v>
      </c>
      <c r="E30" s="11" t="n">
        <v>168</v>
      </c>
      <c r="F30" s="11" t="n">
        <v>28.85811111111111</v>
      </c>
      <c r="G30" s="11" t="n">
        <v>196.8581111111111</v>
      </c>
      <c r="H30" s="11" t="n">
        <v>58.1484</v>
      </c>
      <c r="I30" s="11" t="n">
        <v>425.0386722222222</v>
      </c>
      <c r="J30" s="17" t="n">
        <v>58.1484</v>
      </c>
      <c r="K30" s="33" t="inlineStr">
        <is>
          <t>n/Y/n</t>
        </is>
      </c>
      <c r="L30" s="11" t="n">
        <v>-681.8516</v>
      </c>
      <c r="M30" s="11" t="n">
        <v>740</v>
      </c>
    </row>
    <row r="31">
      <c r="A31" s="12" t="inlineStr">
        <is>
          <t>March</t>
        </is>
      </c>
      <c r="B31" s="11" t="n">
        <v>266</v>
      </c>
      <c r="C31" s="11" t="n">
        <v>32.92766666666667</v>
      </c>
      <c r="D31" s="11" t="n">
        <v>298.9276666666667</v>
      </c>
      <c r="E31" s="11" t="n">
        <v>207</v>
      </c>
      <c r="F31" s="11" t="n">
        <v>60.92038888888889</v>
      </c>
      <c r="G31" s="11" t="n">
        <v>267.9203888888889</v>
      </c>
      <c r="H31" s="11" t="n">
        <v>29.8125</v>
      </c>
      <c r="I31" s="11" t="n">
        <v>596.6605555555556</v>
      </c>
      <c r="J31" s="17" t="n">
        <v>596.6605555555556</v>
      </c>
      <c r="K31" s="23" t="inlineStr">
        <is>
          <t>Y/Y/Y</t>
        </is>
      </c>
      <c r="L31" s="11" t="n">
        <v>-423.3394444444444</v>
      </c>
      <c r="M31" s="11" t="n">
        <v>1020</v>
      </c>
    </row>
    <row r="32">
      <c r="A32" s="12" t="inlineStr">
        <is>
          <t>April</t>
        </is>
      </c>
      <c r="B32" s="11" t="n">
        <v>231</v>
      </c>
      <c r="C32" s="11" t="n">
        <v>16.60519444444445</v>
      </c>
      <c r="D32" s="11" t="n">
        <v>247.6051944444444</v>
      </c>
      <c r="E32" s="11" t="n">
        <v>132</v>
      </c>
      <c r="F32" s="11" t="n">
        <v>104.9039722222222</v>
      </c>
      <c r="G32" s="11" t="n">
        <v>236.9039722222222</v>
      </c>
      <c r="H32" s="11" t="n">
        <v>97.875</v>
      </c>
      <c r="I32" s="11" t="n">
        <v>582.3841666666667</v>
      </c>
      <c r="J32" s="17" t="n">
        <v>582.3841666666667</v>
      </c>
      <c r="K32" s="23" t="inlineStr">
        <is>
          <t>Y/Y/Y</t>
        </is>
      </c>
      <c r="L32" s="11" t="n">
        <v>-137.6158333333333</v>
      </c>
      <c r="M32" s="11" t="n">
        <v>720</v>
      </c>
    </row>
    <row r="33">
      <c r="A33" s="18" t="inlineStr">
        <is>
          <t>4-Month Total</t>
        </is>
      </c>
      <c r="B33" s="34" t="n"/>
      <c r="C33" s="34" t="n"/>
      <c r="D33" s="34" t="n"/>
      <c r="E33" s="34" t="n"/>
      <c r="F33" s="34" t="n"/>
      <c r="G33" s="34" t="n"/>
      <c r="H33" s="34" t="n"/>
      <c r="I33" s="19" t="n">
        <v>1992.222066666667</v>
      </c>
      <c r="J33" s="19" t="n">
        <v>1299.845472222222</v>
      </c>
      <c r="K33" s="34" t="n"/>
      <c r="L33" s="19" t="n">
        <v>-1840.154527777778</v>
      </c>
      <c r="M33" s="19" t="n">
        <v>3140</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48</v>
      </c>
      <c r="G38" s="16" t="n">
        <v>63374.5</v>
      </c>
      <c r="H38" s="16" t="n">
        <v>11897.57</v>
      </c>
      <c r="I38" s="31" t="n">
        <v>0.1877343410993381</v>
      </c>
      <c r="J38" s="15" t="n">
        <v>0</v>
      </c>
      <c r="K38" s="16" t="n">
        <v>0</v>
      </c>
      <c r="L38" s="16" t="n">
        <v>0</v>
      </c>
      <c r="M38" s="31" t="n">
        <v>0</v>
      </c>
      <c r="N38" s="16" t="n">
        <v>1194.806451612903</v>
      </c>
    </row>
    <row r="39">
      <c r="A39" s="14" t="inlineStr">
        <is>
          <t>February</t>
        </is>
      </c>
      <c r="B39" s="15" t="n">
        <v>13</v>
      </c>
      <c r="C39" s="16" t="n">
        <v>7659.5</v>
      </c>
      <c r="D39" s="16" t="n">
        <v>2095.02</v>
      </c>
      <c r="E39" s="31" t="n">
        <v>0.2735191592140479</v>
      </c>
      <c r="F39" s="15" t="n">
        <v>37</v>
      </c>
      <c r="G39" s="16" t="n">
        <v>49990.7</v>
      </c>
      <c r="H39" s="16" t="n">
        <v>6802.73</v>
      </c>
      <c r="I39" s="31" t="n">
        <v>0.1360799108634206</v>
      </c>
      <c r="J39" s="15" t="n">
        <v>1</v>
      </c>
      <c r="K39" s="16" t="n">
        <v>1063</v>
      </c>
      <c r="L39" s="16" t="n">
        <v>91.75</v>
      </c>
      <c r="M39" s="31" t="n">
        <v>0.08631232361241768</v>
      </c>
      <c r="N39" s="16" t="n">
        <v>589.1923076923077</v>
      </c>
    </row>
    <row r="40">
      <c r="A40" s="14" t="inlineStr">
        <is>
          <t>March</t>
        </is>
      </c>
      <c r="B40" s="15" t="n">
        <v>28</v>
      </c>
      <c r="C40" s="16" t="n">
        <v>39759.7</v>
      </c>
      <c r="D40" s="16" t="n">
        <v>5669.41</v>
      </c>
      <c r="E40" s="31" t="n">
        <v>0.142591870663008</v>
      </c>
      <c r="F40" s="15" t="n">
        <v>48</v>
      </c>
      <c r="G40" s="16" t="n">
        <v>56860.6</v>
      </c>
      <c r="H40" s="16" t="n">
        <v>8620.469999999999</v>
      </c>
      <c r="I40" s="31" t="n">
        <v>0.1516070882122243</v>
      </c>
      <c r="J40" s="15" t="n">
        <v>1</v>
      </c>
      <c r="K40" s="16" t="n">
        <v>1034</v>
      </c>
      <c r="L40" s="16" t="n">
        <v>180.45</v>
      </c>
      <c r="M40" s="31" t="n">
        <v>0.1745164410058027</v>
      </c>
      <c r="N40" s="16" t="n">
        <v>1419.989285714286</v>
      </c>
    </row>
    <row r="41">
      <c r="A41" s="14" t="inlineStr">
        <is>
          <t>April</t>
        </is>
      </c>
      <c r="B41" s="15" t="n">
        <v>15</v>
      </c>
      <c r="C41" s="16" t="n">
        <v>19288.35</v>
      </c>
      <c r="D41" s="16" t="n">
        <v>4344.3</v>
      </c>
      <c r="E41" s="31" t="n">
        <v>0.225229218673448</v>
      </c>
      <c r="F41" s="15" t="n">
        <v>37</v>
      </c>
      <c r="G41" s="16" t="n">
        <v>43396.2</v>
      </c>
      <c r="H41" s="16" t="n">
        <v>7660.7</v>
      </c>
      <c r="I41" s="31" t="n">
        <v>0.1765292813656495</v>
      </c>
      <c r="J41" s="15" t="n">
        <v>0</v>
      </c>
      <c r="K41" s="16" t="n">
        <v>0</v>
      </c>
      <c r="L41" s="16" t="n">
        <v>0</v>
      </c>
      <c r="M41" s="31" t="n">
        <v>0</v>
      </c>
      <c r="N41" s="16" t="n">
        <v>1285.89</v>
      </c>
    </row>
    <row r="43">
      <c r="A43" s="32" t="inlineStr">
        <is>
          <t>THE BONUS PLAN - bonus calculation</t>
        </is>
      </c>
    </row>
    <row r="44">
      <c r="A44" s="6" t="inlineStr">
        <is>
          <t>Month</t>
        </is>
      </c>
      <c r="B44" s="6" t="inlineStr">
        <is>
          <t>NB base</t>
        </is>
      </c>
      <c r="C44" s="6" t="inlineStr">
        <is>
          <t>NB kicker</t>
        </is>
      </c>
      <c r="D44" s="6" t="inlineStr">
        <is>
          <t>NB target</t>
        </is>
      </c>
      <c r="E44" s="6" t="inlineStr">
        <is>
          <t>RWR base</t>
        </is>
      </c>
      <c r="F44" s="6" t="inlineStr">
        <is>
          <t>RWR kicker</t>
        </is>
      </c>
      <c r="G44" s="6" t="inlineStr">
        <is>
          <t>RWR target</t>
        </is>
      </c>
      <c r="H44" s="6" t="inlineStr">
        <is>
          <t>Retention bonus</t>
        </is>
      </c>
      <c r="I44" s="6" t="inlineStr">
        <is>
          <t>Total target</t>
        </is>
      </c>
      <c r="J44" s="6" t="inlineStr">
        <is>
          <t>PAID after MIN</t>
        </is>
      </c>
      <c r="K44" s="6" t="inlineStr">
        <is>
          <t>Gates</t>
        </is>
      </c>
      <c r="L44" s="6" t="inlineStr">
        <is>
          <t>vs Current</t>
        </is>
      </c>
      <c r="M44" s="6" t="inlineStr">
        <is>
          <t>Current</t>
        </is>
      </c>
    </row>
    <row r="45">
      <c r="A45" s="12" t="inlineStr">
        <is>
          <t>January</t>
        </is>
      </c>
      <c r="B45" s="11" t="n">
        <v>155</v>
      </c>
      <c r="C45" s="11" t="n">
        <v>20.48777777777778</v>
      </c>
      <c r="D45" s="11" t="n">
        <v>175.4877777777778</v>
      </c>
      <c r="E45" s="11" t="n">
        <v>144</v>
      </c>
      <c r="F45" s="11" t="n">
        <v>19.20805555555555</v>
      </c>
      <c r="G45" s="11" t="n">
        <v>163.2080555555555</v>
      </c>
      <c r="H45" s="11" t="n">
        <v>0</v>
      </c>
      <c r="I45" s="11" t="n">
        <v>338.6958333333333</v>
      </c>
      <c r="J45" s="17" t="n">
        <v>0</v>
      </c>
      <c r="K45" s="33" t="inlineStr">
        <is>
          <t>n/Y/n</t>
        </is>
      </c>
      <c r="L45" s="11" t="n">
        <v>-740</v>
      </c>
      <c r="M45" s="11" t="n">
        <v>740</v>
      </c>
    </row>
    <row r="46">
      <c r="A46" s="12" t="inlineStr">
        <is>
          <t>February</t>
        </is>
      </c>
      <c r="B46" s="11" t="n">
        <v>65</v>
      </c>
      <c r="C46" s="11" t="n">
        <v>0</v>
      </c>
      <c r="D46" s="11" t="n">
        <v>65</v>
      </c>
      <c r="E46" s="11" t="n">
        <v>111</v>
      </c>
      <c r="F46" s="11" t="n">
        <v>0</v>
      </c>
      <c r="G46" s="11" t="n">
        <v>111</v>
      </c>
      <c r="H46" s="11" t="n">
        <v>5.315</v>
      </c>
      <c r="I46" s="11" t="n">
        <v>181.315</v>
      </c>
      <c r="J46" s="17" t="n">
        <v>5.315</v>
      </c>
      <c r="K46" s="33" t="inlineStr">
        <is>
          <t>n/Y/n</t>
        </is>
      </c>
      <c r="L46" s="11" t="n">
        <v>-444.685</v>
      </c>
      <c r="M46" s="11" t="n">
        <v>450</v>
      </c>
    </row>
    <row r="47">
      <c r="A47" s="12" t="inlineStr">
        <is>
          <t>March</t>
        </is>
      </c>
      <c r="B47" s="11" t="n">
        <v>196</v>
      </c>
      <c r="C47" s="11" t="n">
        <v>0</v>
      </c>
      <c r="D47" s="11" t="n">
        <v>196</v>
      </c>
      <c r="E47" s="11" t="n">
        <v>96</v>
      </c>
      <c r="F47" s="11" t="n">
        <v>15.58922222222222</v>
      </c>
      <c r="G47" s="11" t="n">
        <v>111.5892222222222</v>
      </c>
      <c r="H47" s="11" t="n">
        <v>5.17</v>
      </c>
      <c r="I47" s="11" t="n">
        <v>312.7592222222223</v>
      </c>
      <c r="J47" s="17" t="n">
        <v>5.17</v>
      </c>
      <c r="K47" s="33" t="inlineStr">
        <is>
          <t>n/Y/n</t>
        </is>
      </c>
      <c r="L47" s="11" t="n">
        <v>-704.83</v>
      </c>
      <c r="M47" s="11" t="n">
        <v>710</v>
      </c>
    </row>
    <row r="48">
      <c r="A48" s="12" t="inlineStr">
        <is>
          <t>April</t>
        </is>
      </c>
      <c r="B48" s="11" t="n">
        <v>105</v>
      </c>
      <c r="C48" s="11" t="n">
        <v>11.4315</v>
      </c>
      <c r="D48" s="11" t="n">
        <v>116.4315</v>
      </c>
      <c r="E48" s="11" t="n">
        <v>74</v>
      </c>
      <c r="F48" s="11" t="n">
        <v>11.77566666666666</v>
      </c>
      <c r="G48" s="11" t="n">
        <v>85.77566666666667</v>
      </c>
      <c r="H48" s="11" t="n">
        <v>0</v>
      </c>
      <c r="I48" s="11" t="n">
        <v>202.2071666666667</v>
      </c>
      <c r="J48" s="17" t="n">
        <v>0</v>
      </c>
      <c r="K48" s="33" t="inlineStr">
        <is>
          <t>n/Y/n</t>
        </is>
      </c>
      <c r="L48" s="11" t="n">
        <v>-470</v>
      </c>
      <c r="M48" s="11" t="n">
        <v>470</v>
      </c>
    </row>
    <row r="49">
      <c r="A49" s="18" t="inlineStr">
        <is>
          <t>4-Month Total</t>
        </is>
      </c>
      <c r="B49" s="34" t="n"/>
      <c r="C49" s="34" t="n"/>
      <c r="D49" s="34" t="n"/>
      <c r="E49" s="34" t="n"/>
      <c r="F49" s="34" t="n"/>
      <c r="G49" s="34" t="n"/>
      <c r="H49" s="34" t="n"/>
      <c r="I49" s="19" t="n">
        <v>1034.977222222222</v>
      </c>
      <c r="J49" s="19" t="n">
        <v>10.485</v>
      </c>
      <c r="K49" s="34" t="n"/>
      <c r="L49" s="19" t="n">
        <v>-2359.515</v>
      </c>
      <c r="M49" s="19" t="n">
        <v>2370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35</v>
      </c>
      <c r="G54" s="16" t="n">
        <v>39558.05</v>
      </c>
      <c r="H54" s="16" t="n">
        <v>8795.290000000001</v>
      </c>
      <c r="I54" s="31" t="n">
        <v>0.2223388159932049</v>
      </c>
      <c r="J54" s="15" t="n">
        <v>1</v>
      </c>
      <c r="K54" s="16" t="n">
        <v>1464.35</v>
      </c>
      <c r="L54" s="16" t="n">
        <v>302.12</v>
      </c>
      <c r="M54" s="31" t="n">
        <v>0.2063167958479872</v>
      </c>
      <c r="N54" s="16" t="n">
        <v>1501.318421052631</v>
      </c>
    </row>
    <row r="55">
      <c r="A55" s="14" t="inlineStr">
        <is>
          <t>February</t>
        </is>
      </c>
      <c r="B55" s="15" t="n">
        <v>23</v>
      </c>
      <c r="C55" s="16" t="n">
        <v>22247.7</v>
      </c>
      <c r="D55" s="16" t="n">
        <v>3832.59</v>
      </c>
      <c r="E55" s="31" t="n">
        <v>0.1722690435415796</v>
      </c>
      <c r="F55" s="15" t="n">
        <v>42</v>
      </c>
      <c r="G55" s="16" t="n">
        <v>43687.45</v>
      </c>
      <c r="H55" s="16" t="n">
        <v>13820.09</v>
      </c>
      <c r="I55" s="31" t="n">
        <v>0.3163400473133589</v>
      </c>
      <c r="J55" s="15" t="n">
        <v>2</v>
      </c>
      <c r="K55" s="16" t="n">
        <v>2099</v>
      </c>
      <c r="L55" s="16" t="n">
        <v>321.01</v>
      </c>
      <c r="M55" s="31" t="n">
        <v>0.152934730824202</v>
      </c>
      <c r="N55" s="16" t="n">
        <v>967.2913043478261</v>
      </c>
    </row>
    <row r="56">
      <c r="A56" s="14" t="inlineStr">
        <is>
          <t>March</t>
        </is>
      </c>
      <c r="B56" s="15" t="n">
        <v>27</v>
      </c>
      <c r="C56" s="16" t="n">
        <v>31269</v>
      </c>
      <c r="D56" s="16" t="n">
        <v>8642.02</v>
      </c>
      <c r="E56" s="31" t="n">
        <v>0.2763766030253606</v>
      </c>
      <c r="F56" s="15" t="n">
        <v>27</v>
      </c>
      <c r="G56" s="16" t="n">
        <v>23526.7</v>
      </c>
      <c r="H56" s="16" t="n">
        <v>9060.629999999999</v>
      </c>
      <c r="I56" s="31" t="n">
        <v>0.3851211602137146</v>
      </c>
      <c r="J56" s="15" t="n">
        <v>0</v>
      </c>
      <c r="K56" s="16" t="n">
        <v>0</v>
      </c>
      <c r="L56" s="16" t="n">
        <v>0</v>
      </c>
      <c r="M56" s="31" t="n">
        <v>0</v>
      </c>
      <c r="N56" s="16" t="n">
        <v>1158.111111111111</v>
      </c>
    </row>
    <row r="57">
      <c r="A57" s="14" t="inlineStr">
        <is>
          <t>April</t>
        </is>
      </c>
      <c r="B57" s="15" t="n">
        <v>23</v>
      </c>
      <c r="C57" s="16" t="n">
        <v>29581.05</v>
      </c>
      <c r="D57" s="16" t="n">
        <v>6600.51</v>
      </c>
      <c r="E57" s="31" t="n">
        <v>0.2231330530863509</v>
      </c>
      <c r="F57" s="15" t="n">
        <v>31</v>
      </c>
      <c r="G57" s="16" t="n">
        <v>30832.76</v>
      </c>
      <c r="H57" s="16" t="n">
        <v>7710.62</v>
      </c>
      <c r="I57" s="31" t="n">
        <v>0.2500788122762931</v>
      </c>
      <c r="J57" s="15" t="n">
        <v>1</v>
      </c>
      <c r="K57" s="16" t="n">
        <v>885</v>
      </c>
      <c r="L57" s="16" t="n">
        <v>885</v>
      </c>
      <c r="M57" s="31" t="n">
        <v>1</v>
      </c>
      <c r="N57" s="16" t="n">
        <v>1286.132608695652</v>
      </c>
    </row>
    <row r="59">
      <c r="A59" s="32" t="inlineStr">
        <is>
          <t>THE BONUS PLAN - bonus calculation</t>
        </is>
      </c>
    </row>
    <row r="60">
      <c r="A60" s="6" t="inlineStr">
        <is>
          <t>Month</t>
        </is>
      </c>
      <c r="B60" s="6" t="inlineStr">
        <is>
          <t>NB base</t>
        </is>
      </c>
      <c r="C60" s="6" t="inlineStr">
        <is>
          <t>NB kicker</t>
        </is>
      </c>
      <c r="D60" s="6" t="inlineStr">
        <is>
          <t>NB target</t>
        </is>
      </c>
      <c r="E60" s="6" t="inlineStr">
        <is>
          <t>RWR base</t>
        </is>
      </c>
      <c r="F60" s="6" t="inlineStr">
        <is>
          <t>RWR kicker</t>
        </is>
      </c>
      <c r="G60" s="6" t="inlineStr">
        <is>
          <t>RWR target</t>
        </is>
      </c>
      <c r="H60" s="6" t="inlineStr">
        <is>
          <t>Retention bonus</t>
        </is>
      </c>
      <c r="I60" s="6" t="inlineStr">
        <is>
          <t>Total target</t>
        </is>
      </c>
      <c r="J60" s="6" t="inlineStr">
        <is>
          <t>PAID after MIN</t>
        </is>
      </c>
      <c r="K60" s="6" t="inlineStr">
        <is>
          <t>Gates</t>
        </is>
      </c>
      <c r="L60" s="6" t="inlineStr">
        <is>
          <t>vs Current</t>
        </is>
      </c>
      <c r="M60" s="6" t="inlineStr">
        <is>
          <t>Current</t>
        </is>
      </c>
    </row>
    <row r="61">
      <c r="A61" s="12" t="inlineStr">
        <is>
          <t>January</t>
        </is>
      </c>
      <c r="B61" s="11" t="n">
        <v>133</v>
      </c>
      <c r="C61" s="11" t="n">
        <v>9.513916666666665</v>
      </c>
      <c r="D61" s="11" t="n">
        <v>142.5139166666667</v>
      </c>
      <c r="E61" s="11" t="n">
        <v>70</v>
      </c>
      <c r="F61" s="11" t="n">
        <v>20.62005555555556</v>
      </c>
      <c r="G61" s="11" t="n">
        <v>90.62005555555555</v>
      </c>
      <c r="H61" s="11" t="n">
        <v>7.32175</v>
      </c>
      <c r="I61" s="11" t="n">
        <v>240.4557222222222</v>
      </c>
      <c r="J61" s="17" t="n">
        <v>7.32175</v>
      </c>
      <c r="K61" s="33" t="inlineStr">
        <is>
          <t>n/Y/n</t>
        </is>
      </c>
      <c r="L61" s="11" t="n">
        <v>-482.67825</v>
      </c>
      <c r="M61" s="11" t="n">
        <v>490</v>
      </c>
    </row>
    <row r="62">
      <c r="A62" s="12" t="inlineStr">
        <is>
          <t>February</t>
        </is>
      </c>
      <c r="B62" s="11" t="n">
        <v>115</v>
      </c>
      <c r="C62" s="11" t="n">
        <v>4.693166666666667</v>
      </c>
      <c r="D62" s="11" t="n">
        <v>119.6931666666667</v>
      </c>
      <c r="E62" s="11" t="n">
        <v>84</v>
      </c>
      <c r="F62" s="11" t="n">
        <v>51.35402777777777</v>
      </c>
      <c r="G62" s="11" t="n">
        <v>135.3540277777778</v>
      </c>
      <c r="H62" s="11" t="n">
        <v>10.495</v>
      </c>
      <c r="I62" s="11" t="n">
        <v>265.5421944444445</v>
      </c>
      <c r="J62" s="17" t="n">
        <v>10.495</v>
      </c>
      <c r="K62" s="33" t="inlineStr">
        <is>
          <t>n/Y/n</t>
        </is>
      </c>
      <c r="L62" s="11" t="n">
        <v>-589.505</v>
      </c>
      <c r="M62" s="11" t="n">
        <v>600</v>
      </c>
    </row>
    <row r="63">
      <c r="A63" s="12" t="inlineStr">
        <is>
          <t>March</t>
        </is>
      </c>
      <c r="B63" s="11" t="n">
        <v>135</v>
      </c>
      <c r="C63" s="11" t="n">
        <v>41.85833333333333</v>
      </c>
      <c r="D63" s="11" t="n">
        <v>176.8583333333333</v>
      </c>
      <c r="E63" s="11" t="n">
        <v>54</v>
      </c>
      <c r="F63" s="11" t="n">
        <v>20.35194444444445</v>
      </c>
      <c r="G63" s="11" t="n">
        <v>74.35194444444444</v>
      </c>
      <c r="H63" s="11" t="n">
        <v>0</v>
      </c>
      <c r="I63" s="11" t="n">
        <v>251.2102777777778</v>
      </c>
      <c r="J63" s="17" t="n">
        <v>0</v>
      </c>
      <c r="K63" s="33" t="inlineStr">
        <is>
          <t>n/Y/n</t>
        </is>
      </c>
      <c r="L63" s="11" t="n">
        <v>-490</v>
      </c>
      <c r="M63" s="11" t="n">
        <v>490</v>
      </c>
    </row>
    <row r="64">
      <c r="A64" s="12" t="inlineStr">
        <is>
          <t>April</t>
        </is>
      </c>
      <c r="B64" s="11" t="n">
        <v>161</v>
      </c>
      <c r="C64" s="11" t="n">
        <v>17.5345</v>
      </c>
      <c r="D64" s="11" t="n">
        <v>178.5345</v>
      </c>
      <c r="E64" s="11" t="n">
        <v>62</v>
      </c>
      <c r="F64" s="11" t="n">
        <v>33.97988888888888</v>
      </c>
      <c r="G64" s="11" t="n">
        <v>95.97988888888888</v>
      </c>
      <c r="H64" s="11" t="n">
        <v>4.425</v>
      </c>
      <c r="I64" s="11" t="n">
        <v>278.9393888888889</v>
      </c>
      <c r="J64" s="17" t="n">
        <v>4.425</v>
      </c>
      <c r="K64" s="33" t="inlineStr">
        <is>
          <t>n/Y/n</t>
        </is>
      </c>
      <c r="L64" s="11" t="n">
        <v>-485.575</v>
      </c>
      <c r="M64" s="11" t="n">
        <v>490</v>
      </c>
    </row>
    <row r="65">
      <c r="A65" s="18" t="inlineStr">
        <is>
          <t>4-Month Total</t>
        </is>
      </c>
      <c r="B65" s="34" t="n"/>
      <c r="C65" s="34" t="n"/>
      <c r="D65" s="34" t="n"/>
      <c r="E65" s="34" t="n"/>
      <c r="F65" s="34" t="n"/>
      <c r="G65" s="34" t="n"/>
      <c r="H65" s="34" t="n"/>
      <c r="I65" s="19" t="n">
        <v>1036.147583333333</v>
      </c>
      <c r="J65" s="19" t="n">
        <v>22.24175</v>
      </c>
      <c r="K65" s="34" t="n"/>
      <c r="L65" s="19" t="n">
        <v>-2047.75825</v>
      </c>
      <c r="M65" s="19" t="n">
        <v>2070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28</v>
      </c>
      <c r="G70" s="16" t="n">
        <v>33083.93</v>
      </c>
      <c r="H70" s="16" t="n">
        <v>6461.48</v>
      </c>
      <c r="I70" s="31" t="n">
        <v>0.1953056967536807</v>
      </c>
      <c r="J70" s="15" t="n">
        <v>4</v>
      </c>
      <c r="K70" s="16" t="n">
        <v>3690</v>
      </c>
      <c r="L70" s="16" t="n">
        <v>642.04</v>
      </c>
      <c r="M70" s="31" t="n">
        <v>0.1739945799457994</v>
      </c>
      <c r="N70" s="16" t="n">
        <v>1550.39</v>
      </c>
    </row>
    <row r="71">
      <c r="A71" s="14" t="inlineStr">
        <is>
          <t>February</t>
        </is>
      </c>
      <c r="B71" s="15" t="n">
        <v>14</v>
      </c>
      <c r="C71" s="16" t="n">
        <v>19414.25</v>
      </c>
      <c r="D71" s="16" t="n">
        <v>3640.91</v>
      </c>
      <c r="E71" s="31" t="n">
        <v>0.1875380197535315</v>
      </c>
      <c r="F71" s="15" t="n">
        <v>24</v>
      </c>
      <c r="G71" s="16" t="n">
        <v>28298.16</v>
      </c>
      <c r="H71" s="16" t="n">
        <v>5276.12</v>
      </c>
      <c r="I71" s="31" t="n">
        <v>0.186447458067945</v>
      </c>
      <c r="J71" s="15" t="n">
        <v>5</v>
      </c>
      <c r="K71" s="16" t="n">
        <v>7446</v>
      </c>
      <c r="L71" s="16" t="n">
        <v>3293.14</v>
      </c>
      <c r="M71" s="31" t="n">
        <v>0.442269674993285</v>
      </c>
      <c r="N71" s="16" t="n">
        <v>1386.732142857143</v>
      </c>
    </row>
    <row r="72">
      <c r="A72" s="14" t="inlineStr">
        <is>
          <t>March</t>
        </is>
      </c>
      <c r="B72" s="15" t="n">
        <v>19</v>
      </c>
      <c r="C72" s="16" t="n">
        <v>17843.69</v>
      </c>
      <c r="D72" s="16" t="n">
        <v>4965.76</v>
      </c>
      <c r="E72" s="31" t="n">
        <v>0.2782922142225067</v>
      </c>
      <c r="F72" s="15" t="n">
        <v>19</v>
      </c>
      <c r="G72" s="16" t="n">
        <v>19840.85</v>
      </c>
      <c r="H72" s="16" t="n">
        <v>3981.64</v>
      </c>
      <c r="I72" s="31" t="n">
        <v>0.2006789023655741</v>
      </c>
      <c r="J72" s="15" t="n">
        <v>6</v>
      </c>
      <c r="K72" s="16" t="n">
        <v>5643.9</v>
      </c>
      <c r="L72" s="16" t="n">
        <v>1575.86</v>
      </c>
      <c r="M72" s="31" t="n">
        <v>0.2792147274048087</v>
      </c>
      <c r="N72" s="16" t="n">
        <v>939.1415789473683</v>
      </c>
    </row>
    <row r="73">
      <c r="A73" s="14" t="inlineStr">
        <is>
          <t>April</t>
        </is>
      </c>
      <c r="B73" s="15" t="n">
        <v>9</v>
      </c>
      <c r="C73" s="16" t="n">
        <v>14099</v>
      </c>
      <c r="D73" s="16" t="n">
        <v>3941.94</v>
      </c>
      <c r="E73" s="31" t="n">
        <v>0.2795900418469395</v>
      </c>
      <c r="F73" s="15" t="n">
        <v>29</v>
      </c>
      <c r="G73" s="16" t="n">
        <v>39794.4</v>
      </c>
      <c r="H73" s="16" t="n">
        <v>7674.9</v>
      </c>
      <c r="I73" s="31" t="n">
        <v>0.1928638200349798</v>
      </c>
      <c r="J73" s="15" t="n">
        <v>3</v>
      </c>
      <c r="K73" s="16" t="n">
        <v>3617</v>
      </c>
      <c r="L73" s="16" t="n">
        <v>3096.58</v>
      </c>
      <c r="M73" s="31" t="n">
        <v>0.8561183301078241</v>
      </c>
      <c r="N73" s="16" t="n">
        <v>1566.555555555556</v>
      </c>
    </row>
    <row r="75">
      <c r="A75" s="32" t="inlineStr">
        <is>
          <t>THE BONUS PLAN - bonus calculation</t>
        </is>
      </c>
    </row>
    <row r="76">
      <c r="A76" s="6" t="inlineStr">
        <is>
          <t>Month</t>
        </is>
      </c>
      <c r="B76" s="6" t="inlineStr">
        <is>
          <t>NB base</t>
        </is>
      </c>
      <c r="C76" s="6" t="inlineStr">
        <is>
          <t>NB kicker</t>
        </is>
      </c>
      <c r="D76" s="6" t="inlineStr">
        <is>
          <t>NB target</t>
        </is>
      </c>
      <c r="E76" s="6" t="inlineStr">
        <is>
          <t>RWR base</t>
        </is>
      </c>
      <c r="F76" s="6" t="inlineStr">
        <is>
          <t>RWR kicker</t>
        </is>
      </c>
      <c r="G76" s="6" t="inlineStr">
        <is>
          <t>RWR target</t>
        </is>
      </c>
      <c r="H76" s="6" t="inlineStr">
        <is>
          <t>Retention bonus</t>
        </is>
      </c>
      <c r="I76" s="6" t="inlineStr">
        <is>
          <t>Total target</t>
        </is>
      </c>
      <c r="J76" s="6" t="inlineStr">
        <is>
          <t>PAID after MIN</t>
        </is>
      </c>
      <c r="K76" s="6" t="inlineStr">
        <is>
          <t>Gates</t>
        </is>
      </c>
      <c r="L76" s="6" t="inlineStr">
        <is>
          <t>vs Current</t>
        </is>
      </c>
      <c r="M76" s="6" t="inlineStr">
        <is>
          <t>Current</t>
        </is>
      </c>
    </row>
    <row r="77">
      <c r="A77" s="12" t="inlineStr">
        <is>
          <t>January</t>
        </is>
      </c>
      <c r="B77" s="11" t="n">
        <v>70</v>
      </c>
      <c r="C77" s="11" t="n">
        <v>0</v>
      </c>
      <c r="D77" s="11" t="n">
        <v>70</v>
      </c>
      <c r="E77" s="11" t="n">
        <v>56</v>
      </c>
      <c r="F77" s="11" t="n">
        <v>9.046627777777777</v>
      </c>
      <c r="G77" s="11" t="n">
        <v>65.04662777777777</v>
      </c>
      <c r="H77" s="11" t="n">
        <v>18.45</v>
      </c>
      <c r="I77" s="11" t="n">
        <v>153.4966277777777</v>
      </c>
      <c r="J77" s="17" t="n">
        <v>18.45</v>
      </c>
      <c r="K77" s="33" t="inlineStr">
        <is>
          <t>n/Y/n</t>
        </is>
      </c>
      <c r="L77" s="11" t="n">
        <v>-331.55</v>
      </c>
      <c r="M77" s="11" t="n">
        <v>350</v>
      </c>
    </row>
    <row r="78">
      <c r="A78" s="12" t="inlineStr">
        <is>
          <t>February</t>
        </is>
      </c>
      <c r="B78" s="11" t="n">
        <v>98</v>
      </c>
      <c r="C78" s="11" t="n">
        <v>6.119027777777778</v>
      </c>
      <c r="D78" s="11" t="n">
        <v>104.1190277777778</v>
      </c>
      <c r="E78" s="11" t="n">
        <v>48</v>
      </c>
      <c r="F78" s="11" t="n">
        <v>7.721199999999998</v>
      </c>
      <c r="G78" s="11" t="n">
        <v>55.7212</v>
      </c>
      <c r="H78" s="11" t="n">
        <v>37.23</v>
      </c>
      <c r="I78" s="11" t="n">
        <v>197.0702277777778</v>
      </c>
      <c r="J78" s="17" t="n">
        <v>37.23</v>
      </c>
      <c r="K78" s="33" t="inlineStr">
        <is>
          <t>n/Y/n</t>
        </is>
      </c>
      <c r="L78" s="11" t="n">
        <v>-312.77</v>
      </c>
      <c r="M78" s="11" t="n">
        <v>350</v>
      </c>
    </row>
    <row r="79">
      <c r="A79" s="12" t="inlineStr">
        <is>
          <t>March</t>
        </is>
      </c>
      <c r="B79" s="11" t="n">
        <v>95</v>
      </c>
      <c r="C79" s="11" t="n">
        <v>17.89913888888888</v>
      </c>
      <c r="D79" s="11" t="n">
        <v>112.8991388888889</v>
      </c>
      <c r="E79" s="11" t="n">
        <v>38</v>
      </c>
      <c r="F79" s="11" t="n">
        <v>9.378722222222221</v>
      </c>
      <c r="G79" s="11" t="n">
        <v>47.37872222222222</v>
      </c>
      <c r="H79" s="11" t="n">
        <v>28.2195</v>
      </c>
      <c r="I79" s="11" t="n">
        <v>188.4973611111111</v>
      </c>
      <c r="J79" s="17" t="n">
        <v>28.2195</v>
      </c>
      <c r="K79" s="33" t="inlineStr">
        <is>
          <t>n/Y/n</t>
        </is>
      </c>
      <c r="L79" s="11" t="n">
        <v>-321.7805</v>
      </c>
      <c r="M79" s="11" t="n">
        <v>350</v>
      </c>
    </row>
    <row r="80">
      <c r="A80" s="12" t="inlineStr">
        <is>
          <t>April</t>
        </is>
      </c>
      <c r="B80" s="11" t="n">
        <v>63</v>
      </c>
      <c r="C80" s="11" t="n">
        <v>24.16388888888889</v>
      </c>
      <c r="D80" s="11" t="n">
        <v>87.16388888888889</v>
      </c>
      <c r="E80" s="11" t="n">
        <v>87</v>
      </c>
      <c r="F80" s="11" t="n">
        <v>12.44133333333333</v>
      </c>
      <c r="G80" s="11" t="n">
        <v>99.44133333333333</v>
      </c>
      <c r="H80" s="11" t="n">
        <v>18.085</v>
      </c>
      <c r="I80" s="11" t="n">
        <v>204.6902222222222</v>
      </c>
      <c r="J80" s="17" t="n">
        <v>18.085</v>
      </c>
      <c r="K80" s="33" t="inlineStr">
        <is>
          <t>n/Y/n</t>
        </is>
      </c>
      <c r="L80" s="11" t="n">
        <v>-331.915</v>
      </c>
      <c r="M80" s="11" t="n">
        <v>350</v>
      </c>
    </row>
    <row r="81">
      <c r="A81" s="18" t="inlineStr">
        <is>
          <t>4-Month Total</t>
        </is>
      </c>
      <c r="B81" s="34" t="n"/>
      <c r="C81" s="34" t="n"/>
      <c r="D81" s="34" t="n"/>
      <c r="E81" s="34" t="n"/>
      <c r="F81" s="34" t="n"/>
      <c r="G81" s="34" t="n"/>
      <c r="H81" s="34" t="n"/>
      <c r="I81" s="19" t="n">
        <v>743.7544388888889</v>
      </c>
      <c r="J81" s="19" t="n">
        <v>101.9845</v>
      </c>
      <c r="K81" s="34" t="n"/>
      <c r="L81" s="19" t="n">
        <v>-1298.0155</v>
      </c>
      <c r="M81" s="19" t="n">
        <v>1400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37</v>
      </c>
      <c r="G86" s="16" t="n">
        <v>48612.96</v>
      </c>
      <c r="H86" s="16" t="n">
        <v>8203.879999999999</v>
      </c>
      <c r="I86" s="31" t="n">
        <v>0.1687591127962584</v>
      </c>
      <c r="J86" s="15" t="n">
        <v>6</v>
      </c>
      <c r="K86" s="16" t="n">
        <v>6502.91</v>
      </c>
      <c r="L86" s="16" t="n">
        <v>1439.3</v>
      </c>
      <c r="M86" s="31" t="n">
        <v>0.2213316807398534</v>
      </c>
      <c r="N86" s="16" t="n">
        <v>1243.708260869565</v>
      </c>
    </row>
    <row r="87">
      <c r="A87" s="14" t="inlineStr">
        <is>
          <t>February</t>
        </is>
      </c>
      <c r="B87" s="15" t="n">
        <v>21</v>
      </c>
      <c r="C87" s="16" t="n">
        <v>31516.95</v>
      </c>
      <c r="D87" s="16" t="n">
        <v>6512.87</v>
      </c>
      <c r="E87" s="31" t="n">
        <v>0.206646582235908</v>
      </c>
      <c r="F87" s="15" t="n">
        <v>29</v>
      </c>
      <c r="G87" s="16" t="n">
        <v>47228.18</v>
      </c>
      <c r="H87" s="16" t="n">
        <v>7155.23</v>
      </c>
      <c r="I87" s="31" t="n">
        <v>0.1515034032647457</v>
      </c>
      <c r="J87" s="15" t="n">
        <v>2</v>
      </c>
      <c r="K87" s="16" t="n">
        <v>3092</v>
      </c>
      <c r="L87" s="16" t="n">
        <v>272.87</v>
      </c>
      <c r="M87" s="31" t="n">
        <v>0.0882503234152652</v>
      </c>
      <c r="N87" s="16" t="n">
        <v>1500.807142857143</v>
      </c>
    </row>
    <row r="88">
      <c r="A88" s="14" t="inlineStr">
        <is>
          <t>March</t>
        </is>
      </c>
      <c r="B88" s="15" t="n">
        <v>36</v>
      </c>
      <c r="C88" s="16" t="n">
        <v>68546.22</v>
      </c>
      <c r="D88" s="16" t="n">
        <v>17019.79</v>
      </c>
      <c r="E88" s="31" t="n">
        <v>0.2482965508528406</v>
      </c>
      <c r="F88" s="15" t="n">
        <v>28</v>
      </c>
      <c r="G88" s="16" t="n">
        <v>39254.65</v>
      </c>
      <c r="H88" s="16" t="n">
        <v>5300.53</v>
      </c>
      <c r="I88" s="31" t="n">
        <v>0.135029353210384</v>
      </c>
      <c r="J88" s="15" t="n">
        <v>0</v>
      </c>
      <c r="K88" s="16" t="n">
        <v>0</v>
      </c>
      <c r="L88" s="16" t="n">
        <v>0</v>
      </c>
      <c r="M88" s="31" t="n">
        <v>0</v>
      </c>
      <c r="N88" s="16" t="n">
        <v>1904.061666666667</v>
      </c>
    </row>
    <row r="89">
      <c r="A89" s="14" t="inlineStr">
        <is>
          <t>April</t>
        </is>
      </c>
      <c r="B89" s="15" t="n">
        <v>22</v>
      </c>
      <c r="C89" s="16" t="n">
        <v>29755.49</v>
      </c>
      <c r="D89" s="16" t="n">
        <v>6197.26</v>
      </c>
      <c r="E89" s="31" t="n">
        <v>0.2082728262918876</v>
      </c>
      <c r="F89" s="15" t="n">
        <v>22</v>
      </c>
      <c r="G89" s="16" t="n">
        <v>35279.9</v>
      </c>
      <c r="H89" s="16" t="n">
        <v>7305.79</v>
      </c>
      <c r="I89" s="31" t="n">
        <v>0.2070808023832267</v>
      </c>
      <c r="J89" s="15" t="n">
        <v>2</v>
      </c>
      <c r="K89" s="16" t="n">
        <v>2514</v>
      </c>
      <c r="L89" s="16" t="n">
        <v>291.12</v>
      </c>
      <c r="M89" s="31" t="n">
        <v>0.115799522673031</v>
      </c>
      <c r="N89" s="16" t="n">
        <v>1352.522272727273</v>
      </c>
    </row>
    <row r="91">
      <c r="A91" s="32" t="inlineStr">
        <is>
          <t>THE BONUS PLAN - bonus calculation</t>
        </is>
      </c>
    </row>
    <row r="92">
      <c r="A92" s="6" t="inlineStr">
        <is>
          <t>Month</t>
        </is>
      </c>
      <c r="B92" s="6" t="inlineStr">
        <is>
          <t>NB base</t>
        </is>
      </c>
      <c r="C92" s="6" t="inlineStr">
        <is>
          <t>NB kicker</t>
        </is>
      </c>
      <c r="D92" s="6" t="inlineStr">
        <is>
          <t>NB target</t>
        </is>
      </c>
      <c r="E92" s="6" t="inlineStr">
        <is>
          <t>RWR base</t>
        </is>
      </c>
      <c r="F92" s="6" t="inlineStr">
        <is>
          <t>RWR kicker</t>
        </is>
      </c>
      <c r="G92" s="6" t="inlineStr">
        <is>
          <t>RWR target</t>
        </is>
      </c>
      <c r="H92" s="6" t="inlineStr">
        <is>
          <t>Retention bonus</t>
        </is>
      </c>
      <c r="I92" s="6" t="inlineStr">
        <is>
          <t>Total target</t>
        </is>
      </c>
      <c r="J92" s="6" t="inlineStr">
        <is>
          <t>PAID after MIN</t>
        </is>
      </c>
      <c r="K92" s="6" t="inlineStr">
        <is>
          <t>Gates</t>
        </is>
      </c>
      <c r="L92" s="6" t="inlineStr">
        <is>
          <t>vs Current</t>
        </is>
      </c>
      <c r="M92" s="6" t="inlineStr">
        <is>
          <t>Current</t>
        </is>
      </c>
    </row>
    <row r="93">
      <c r="A93" s="12" t="inlineStr">
        <is>
          <t>January</t>
        </is>
      </c>
      <c r="B93" s="11" t="n">
        <v>161</v>
      </c>
      <c r="C93" s="11" t="n">
        <v>16.45032222222222</v>
      </c>
      <c r="D93" s="11" t="n">
        <v>177.4503222222222</v>
      </c>
      <c r="E93" s="11" t="n">
        <v>111</v>
      </c>
      <c r="F93" s="11" t="n">
        <v>14.67386666666667</v>
      </c>
      <c r="G93" s="11" t="n">
        <v>125.6738666666667</v>
      </c>
      <c r="H93" s="11" t="n">
        <v>32.51455</v>
      </c>
      <c r="I93" s="11" t="n">
        <v>335.6387388888888</v>
      </c>
      <c r="J93" s="17" t="n">
        <v>32.51455</v>
      </c>
      <c r="K93" s="33" t="inlineStr">
        <is>
          <t>n/Y/n</t>
        </is>
      </c>
      <c r="L93" s="11" t="n">
        <v>-517.48545</v>
      </c>
      <c r="M93" s="11" t="n">
        <v>550</v>
      </c>
    </row>
    <row r="94">
      <c r="A94" s="12" t="inlineStr">
        <is>
          <t>February</t>
        </is>
      </c>
      <c r="B94" s="11" t="n">
        <v>147</v>
      </c>
      <c r="C94" s="11" t="n">
        <v>21.01883333333334</v>
      </c>
      <c r="D94" s="11" t="n">
        <v>168.0188333333333</v>
      </c>
      <c r="E94" s="11" t="n">
        <v>87</v>
      </c>
      <c r="F94" s="11" t="n">
        <v>16.57121111111111</v>
      </c>
      <c r="G94" s="11" t="n">
        <v>103.5712111111111</v>
      </c>
      <c r="H94" s="11" t="n">
        <v>15.46</v>
      </c>
      <c r="I94" s="11" t="n">
        <v>287.0500444444444</v>
      </c>
      <c r="J94" s="17" t="n">
        <v>15.46</v>
      </c>
      <c r="K94" s="33" t="inlineStr">
        <is>
          <t>n/Y/n</t>
        </is>
      </c>
      <c r="L94" s="11" t="n">
        <v>-434.54</v>
      </c>
      <c r="M94" s="11" t="n">
        <v>450</v>
      </c>
    </row>
    <row r="95">
      <c r="A95" s="12" t="inlineStr">
        <is>
          <t>March</t>
        </is>
      </c>
      <c r="B95" s="11" t="n">
        <v>360</v>
      </c>
      <c r="C95" s="11" t="n">
        <v>52.16246666666667</v>
      </c>
      <c r="D95" s="11" t="n">
        <v>412.1624666666667</v>
      </c>
      <c r="E95" s="11" t="n">
        <v>84</v>
      </c>
      <c r="F95" s="11" t="n">
        <v>0</v>
      </c>
      <c r="G95" s="11" t="n">
        <v>84</v>
      </c>
      <c r="H95" s="11" t="n">
        <v>0</v>
      </c>
      <c r="I95" s="11" t="n">
        <v>496.1624666666667</v>
      </c>
      <c r="J95" s="17" t="n">
        <v>496.1624666666667</v>
      </c>
      <c r="K95" s="23" t="inlineStr">
        <is>
          <t>Y/Y/Y</t>
        </is>
      </c>
      <c r="L95" s="11" t="n">
        <v>-93.83753333333334</v>
      </c>
      <c r="M95" s="11" t="n">
        <v>590</v>
      </c>
    </row>
    <row r="96">
      <c r="A96" s="12" t="inlineStr">
        <is>
          <t>April</t>
        </is>
      </c>
      <c r="B96" s="11" t="n">
        <v>154</v>
      </c>
      <c r="C96" s="11" t="n">
        <v>18.39498888888889</v>
      </c>
      <c r="D96" s="11" t="n">
        <v>172.3949888888889</v>
      </c>
      <c r="E96" s="11" t="n">
        <v>66</v>
      </c>
      <c r="F96" s="11" t="n">
        <v>24.53322222222222</v>
      </c>
      <c r="G96" s="11" t="n">
        <v>90.53322222222222</v>
      </c>
      <c r="H96" s="11" t="n">
        <v>12.57</v>
      </c>
      <c r="I96" s="11" t="n">
        <v>275.4982111111111</v>
      </c>
      <c r="J96" s="17" t="n">
        <v>12.57</v>
      </c>
      <c r="K96" s="33" t="inlineStr">
        <is>
          <t>n/Y/n</t>
        </is>
      </c>
      <c r="L96" s="11" t="n">
        <v>-337.43</v>
      </c>
      <c r="M96" s="11" t="n">
        <v>350</v>
      </c>
    </row>
    <row r="97">
      <c r="A97" s="18" t="inlineStr">
        <is>
          <t>4-Month Total</t>
        </is>
      </c>
      <c r="B97" s="34" t="n"/>
      <c r="C97" s="34" t="n"/>
      <c r="D97" s="34" t="n"/>
      <c r="E97" s="34" t="n"/>
      <c r="F97" s="34" t="n"/>
      <c r="G97" s="34" t="n"/>
      <c r="H97" s="34" t="n"/>
      <c r="I97" s="19" t="n">
        <v>1394.349461111111</v>
      </c>
      <c r="J97" s="19" t="n">
        <v>556.7070166666667</v>
      </c>
      <c r="K97" s="34" t="n"/>
      <c r="L97" s="19" t="n">
        <v>-1383.292983333333</v>
      </c>
      <c r="M97" s="19" t="n">
        <v>1940</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1" customWidth="1" min="2" max="2"/>
    <col width="13" customWidth="1" min="3" max="3"/>
    <col width="13" customWidth="1" min="4" max="4"/>
    <col width="11" customWidth="1" min="5" max="5"/>
    <col width="11" customWidth="1" min="6" max="6"/>
    <col width="13" customWidth="1" min="7" max="7"/>
    <col width="16" customWidth="1" min="8" max="8"/>
    <col width="12" customWidth="1" min="9" max="9"/>
    <col width="14" customWidth="1" min="10" max="10"/>
    <col width="8" customWidth="1" min="11" max="11"/>
    <col width="12" customWidth="1" min="12" max="12"/>
    <col width="11" customWidth="1" min="13" max="13"/>
    <col width="13" customWidth="1" min="14" max="14"/>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row>
    <row r="11">
      <c r="A11" s="32" t="inlineStr">
        <is>
          <t>THE BONUS PLAN - bonus calculation</t>
        </is>
      </c>
    </row>
    <row r="12">
      <c r="A12" s="6" t="inlineStr">
        <is>
          <t>Month</t>
        </is>
      </c>
      <c r="B12" s="6" t="inlineStr">
        <is>
          <t>NB base</t>
        </is>
      </c>
      <c r="C12" s="6" t="inlineStr">
        <is>
          <t>NB kicker</t>
        </is>
      </c>
      <c r="D12" s="6" t="inlineStr">
        <is>
          <t>NB target</t>
        </is>
      </c>
      <c r="E12" s="6" t="inlineStr">
        <is>
          <t>RWR base</t>
        </is>
      </c>
      <c r="F12" s="6" t="inlineStr">
        <is>
          <t>RWR kicker</t>
        </is>
      </c>
      <c r="G12" s="6" t="inlineStr">
        <is>
          <t>RWR target</t>
        </is>
      </c>
      <c r="H12" s="6" t="inlineStr">
        <is>
          <t>Retention bonus</t>
        </is>
      </c>
      <c r="I12" s="6" t="inlineStr">
        <is>
          <t>Total target</t>
        </is>
      </c>
      <c r="J12" s="6" t="inlineStr">
        <is>
          <t>PAID after MIN</t>
        </is>
      </c>
      <c r="K12" s="6" t="inlineStr">
        <is>
          <t>Gates</t>
        </is>
      </c>
      <c r="L12" s="6" t="inlineStr">
        <is>
          <t>vs Current</t>
        </is>
      </c>
      <c r="M12" s="6" t="inlineStr">
        <is>
          <t>Current</t>
        </is>
      </c>
    </row>
    <row r="13">
      <c r="A13" s="12" t="inlineStr">
        <is>
          <t>January</t>
        </is>
      </c>
      <c r="B13" s="11" t="n">
        <v>175</v>
      </c>
      <c r="C13" s="11" t="n">
        <v>0</v>
      </c>
      <c r="D13" s="11" t="n">
        <v>175</v>
      </c>
      <c r="E13" s="11" t="n">
        <v>27</v>
      </c>
      <c r="F13" s="11" t="n">
        <v>9.288055555555555</v>
      </c>
      <c r="G13" s="11" t="n">
        <v>36.28805555555556</v>
      </c>
      <c r="H13" s="11" t="n">
        <v>106.82125</v>
      </c>
      <c r="I13" s="11" t="n">
        <v>318.1093055555556</v>
      </c>
      <c r="J13" s="17" t="n">
        <v>106.82125</v>
      </c>
      <c r="K13" s="33" t="inlineStr">
        <is>
          <t>n/Y/n</t>
        </is>
      </c>
      <c r="L13" s="11" t="n">
        <v>-143.17875</v>
      </c>
      <c r="M13" s="11" t="n">
        <v>250</v>
      </c>
    </row>
    <row r="14">
      <c r="A14" s="12" t="inlineStr">
        <is>
          <t>February</t>
        </is>
      </c>
      <c r="B14" s="11" t="n">
        <v>130</v>
      </c>
      <c r="C14" s="11" t="n">
        <v>0</v>
      </c>
      <c r="D14" s="11" t="n">
        <v>130</v>
      </c>
      <c r="E14" s="11" t="n">
        <v>27</v>
      </c>
      <c r="F14" s="11" t="n">
        <v>0</v>
      </c>
      <c r="G14" s="11" t="n">
        <v>27</v>
      </c>
      <c r="H14" s="11" t="n">
        <v>114.1925</v>
      </c>
      <c r="I14" s="11" t="n">
        <v>271.1925</v>
      </c>
      <c r="J14" s="17" t="n">
        <v>114.1925</v>
      </c>
      <c r="K14" s="33" t="inlineStr">
        <is>
          <t>n/Y/n</t>
        </is>
      </c>
      <c r="L14" s="11" t="n">
        <v>114.1925</v>
      </c>
      <c r="M14" s="11" t="n">
        <v>0</v>
      </c>
    </row>
    <row r="15">
      <c r="A15" s="12" t="inlineStr">
        <is>
          <t>March</t>
        </is>
      </c>
      <c r="B15" s="11" t="n">
        <v>210</v>
      </c>
      <c r="C15" s="11" t="n">
        <v>0</v>
      </c>
      <c r="D15" s="11" t="n">
        <v>210</v>
      </c>
      <c r="E15" s="11" t="n">
        <v>27</v>
      </c>
      <c r="F15" s="11" t="n">
        <v>8.015333333333334</v>
      </c>
      <c r="G15" s="11" t="n">
        <v>35.01533333333333</v>
      </c>
      <c r="H15" s="11" t="n">
        <v>82.574</v>
      </c>
      <c r="I15" s="11" t="n">
        <v>327.5893333333333</v>
      </c>
      <c r="J15" s="17" t="n">
        <v>327.5893333333333</v>
      </c>
      <c r="K15" s="23" t="inlineStr">
        <is>
          <t>Y/Y/Y</t>
        </is>
      </c>
      <c r="L15" s="11" t="n">
        <v>-22.41066666666666</v>
      </c>
      <c r="M15" s="11" t="n">
        <v>350</v>
      </c>
    </row>
    <row r="16">
      <c r="A16" s="12" t="inlineStr">
        <is>
          <t>April</t>
        </is>
      </c>
      <c r="B16" s="11" t="n">
        <v>189</v>
      </c>
      <c r="C16" s="11" t="n">
        <v>24.02881111111111</v>
      </c>
      <c r="D16" s="11" t="n">
        <v>213.0288111111111</v>
      </c>
      <c r="E16" s="11" t="n">
        <v>14</v>
      </c>
      <c r="F16" s="11" t="n">
        <v>9.669374999999999</v>
      </c>
      <c r="G16" s="11" t="n">
        <v>23.669375</v>
      </c>
      <c r="H16" s="11" t="n">
        <v>93.08482500000001</v>
      </c>
      <c r="I16" s="11" t="n">
        <v>329.7830111111111</v>
      </c>
      <c r="J16" s="17" t="n">
        <v>93.08482500000001</v>
      </c>
      <c r="K16" s="33" t="inlineStr">
        <is>
          <t>n/Y/n</t>
        </is>
      </c>
      <c r="L16" s="11" t="n">
        <v>-156.915175</v>
      </c>
      <c r="M16" s="11" t="n">
        <v>250</v>
      </c>
    </row>
    <row r="17">
      <c r="A17" s="18" t="inlineStr">
        <is>
          <t>4-Month Total</t>
        </is>
      </c>
      <c r="B17" s="34" t="n"/>
      <c r="C17" s="34" t="n"/>
      <c r="D17" s="34" t="n"/>
      <c r="E17" s="34" t="n"/>
      <c r="F17" s="34" t="n"/>
      <c r="G17" s="34" t="n"/>
      <c r="H17" s="34" t="n"/>
      <c r="I17" s="19" t="n">
        <v>1246.67415</v>
      </c>
      <c r="J17" s="19" t="n">
        <v>641.6879083333334</v>
      </c>
      <c r="K17" s="34" t="n"/>
      <c r="L17" s="19" t="n">
        <v>-208.3120916666666</v>
      </c>
      <c r="M17" s="19" t="n">
        <v>850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24</v>
      </c>
      <c r="G22" s="16" t="n">
        <v>32837.69</v>
      </c>
      <c r="H22" s="16" t="n">
        <v>5468.16</v>
      </c>
      <c r="I22" s="31" t="n">
        <v>0.1665208484518856</v>
      </c>
      <c r="J22" s="15" t="n">
        <v>35</v>
      </c>
      <c r="K22" s="16" t="n">
        <v>45368.16</v>
      </c>
      <c r="L22" s="16" t="n">
        <v>10419.75</v>
      </c>
      <c r="M22" s="31" t="n">
        <v>0.229670985113789</v>
      </c>
      <c r="N22" s="16" t="n">
        <v>1749.967826086957</v>
      </c>
    </row>
    <row r="23">
      <c r="A23" s="14" t="inlineStr">
        <is>
          <t>February</t>
        </is>
      </c>
      <c r="B23" s="15" t="n">
        <v>23</v>
      </c>
      <c r="C23" s="16" t="n">
        <v>30057.89</v>
      </c>
      <c r="D23" s="16" t="n">
        <v>5766.72</v>
      </c>
      <c r="E23" s="31" t="n">
        <v>0.1918537861440041</v>
      </c>
      <c r="F23" s="15" t="n">
        <v>28</v>
      </c>
      <c r="G23" s="16" t="n">
        <v>42772.3</v>
      </c>
      <c r="H23" s="16" t="n">
        <v>6965.715</v>
      </c>
      <c r="I23" s="31" t="n">
        <v>0.1628557500999478</v>
      </c>
      <c r="J23" s="15" t="n">
        <v>37</v>
      </c>
      <c r="K23" s="16" t="n">
        <v>54401.98</v>
      </c>
      <c r="L23" s="16" t="n">
        <v>8903.315000000001</v>
      </c>
      <c r="M23" s="31" t="n">
        <v>0.1636579220094563</v>
      </c>
      <c r="N23" s="16" t="n">
        <v>1306.864782608696</v>
      </c>
    </row>
    <row r="24">
      <c r="A24" s="14" t="inlineStr">
        <is>
          <t>March</t>
        </is>
      </c>
      <c r="B24" s="15" t="n">
        <v>38</v>
      </c>
      <c r="C24" s="16" t="n">
        <v>52434.9</v>
      </c>
      <c r="D24" s="16" t="n">
        <v>10546.59</v>
      </c>
      <c r="E24" s="31" t="n">
        <v>0.2011368382508596</v>
      </c>
      <c r="F24" s="15" t="n">
        <v>35</v>
      </c>
      <c r="G24" s="16" t="n">
        <v>48114.175</v>
      </c>
      <c r="H24" s="16" t="n">
        <v>9850.190000000001</v>
      </c>
      <c r="I24" s="31" t="n">
        <v>0.2047253226310126</v>
      </c>
      <c r="J24" s="15" t="n">
        <v>41</v>
      </c>
      <c r="K24" s="16" t="n">
        <v>54076.675</v>
      </c>
      <c r="L24" s="16" t="n">
        <v>12930.19</v>
      </c>
      <c r="M24" s="31" t="n">
        <v>0.2391084511020694</v>
      </c>
      <c r="N24" s="16" t="n">
        <v>1379.865789473684</v>
      </c>
    </row>
    <row r="25">
      <c r="A25" s="14" t="inlineStr">
        <is>
          <t>April</t>
        </is>
      </c>
      <c r="B25" s="15" t="n">
        <v>33</v>
      </c>
      <c r="C25" s="16" t="n">
        <v>49689.35</v>
      </c>
      <c r="D25" s="16" t="n">
        <v>8831.440000000001</v>
      </c>
      <c r="E25" s="31" t="n">
        <v>0.1777330554736579</v>
      </c>
      <c r="F25" s="15" t="n">
        <v>22</v>
      </c>
      <c r="G25" s="16" t="n">
        <v>32082.715</v>
      </c>
      <c r="H25" s="16" t="n">
        <v>8334.025</v>
      </c>
      <c r="I25" s="31" t="n">
        <v>0.2597668245969831</v>
      </c>
      <c r="J25" s="15" t="n">
        <v>24</v>
      </c>
      <c r="K25" s="16" t="n">
        <v>51657.715</v>
      </c>
      <c r="L25" s="16" t="n">
        <v>11273.675</v>
      </c>
      <c r="M25" s="31" t="n">
        <v>0.2182379727790902</v>
      </c>
      <c r="N25" s="16" t="n">
        <v>1505.737878787879</v>
      </c>
    </row>
    <row r="27">
      <c r="A27" s="32" t="inlineStr">
        <is>
          <t>THE BONUS PLAN - bonus calculation</t>
        </is>
      </c>
    </row>
    <row r="28">
      <c r="A28" s="6" t="inlineStr">
        <is>
          <t>Month</t>
        </is>
      </c>
      <c r="B28" s="6" t="inlineStr">
        <is>
          <t>NB base</t>
        </is>
      </c>
      <c r="C28" s="6" t="inlineStr">
        <is>
          <t>NB kicker</t>
        </is>
      </c>
      <c r="D28" s="6" t="inlineStr">
        <is>
          <t>NB target</t>
        </is>
      </c>
      <c r="E28" s="6" t="inlineStr">
        <is>
          <t>RWR base</t>
        </is>
      </c>
      <c r="F28" s="6" t="inlineStr">
        <is>
          <t>RWR kicker</t>
        </is>
      </c>
      <c r="G28" s="6" t="inlineStr">
        <is>
          <t>RWR target</t>
        </is>
      </c>
      <c r="H28" s="6" t="inlineStr">
        <is>
          <t>Retention bonus</t>
        </is>
      </c>
      <c r="I28" s="6" t="inlineStr">
        <is>
          <t>Total target</t>
        </is>
      </c>
      <c r="J28" s="6" t="inlineStr">
        <is>
          <t>PAID after MIN</t>
        </is>
      </c>
      <c r="K28" s="6" t="inlineStr">
        <is>
          <t>Gates</t>
        </is>
      </c>
      <c r="L28" s="6" t="inlineStr">
        <is>
          <t>vs Current</t>
        </is>
      </c>
      <c r="M28" s="6" t="inlineStr">
        <is>
          <t>Current</t>
        </is>
      </c>
    </row>
    <row r="29">
      <c r="A29" s="12" t="inlineStr">
        <is>
          <t>January</t>
        </is>
      </c>
      <c r="B29" s="11" t="n">
        <v>161</v>
      </c>
      <c r="C29" s="11" t="n">
        <v>0</v>
      </c>
      <c r="D29" s="11" t="n">
        <v>161</v>
      </c>
      <c r="E29" s="11" t="n">
        <v>72</v>
      </c>
      <c r="F29" s="11" t="n">
        <v>10.24316111111111</v>
      </c>
      <c r="G29" s="11" t="n">
        <v>82.24316111111111</v>
      </c>
      <c r="H29" s="11" t="n">
        <v>226.8408</v>
      </c>
      <c r="I29" s="11" t="n">
        <v>470.0839611111111</v>
      </c>
      <c r="J29" s="17" t="n">
        <v>226.8408</v>
      </c>
      <c r="K29" s="33" t="inlineStr">
        <is>
          <t>n/Y/n</t>
        </is>
      </c>
      <c r="L29" s="11" t="n">
        <v>-123.1592</v>
      </c>
      <c r="M29" s="11" t="n">
        <v>350</v>
      </c>
    </row>
    <row r="30">
      <c r="A30" s="12" t="inlineStr">
        <is>
          <t>February</t>
        </is>
      </c>
      <c r="B30" s="11" t="n">
        <v>161</v>
      </c>
      <c r="C30" s="11" t="n">
        <v>9.03216111111111</v>
      </c>
      <c r="D30" s="11" t="n">
        <v>170.0321611111111</v>
      </c>
      <c r="E30" s="11" t="n">
        <v>84</v>
      </c>
      <c r="F30" s="11" t="n">
        <v>14.42905555555556</v>
      </c>
      <c r="G30" s="11" t="n">
        <v>98.42905555555555</v>
      </c>
      <c r="H30" s="11" t="n">
        <v>272.0099</v>
      </c>
      <c r="I30" s="11" t="n">
        <v>540.4711166666667</v>
      </c>
      <c r="J30" s="17" t="n">
        <v>272.0099</v>
      </c>
      <c r="K30" s="33" t="inlineStr">
        <is>
          <t>n/Y/n</t>
        </is>
      </c>
      <c r="L30" s="11" t="n">
        <v>-187.9901</v>
      </c>
      <c r="M30" s="11" t="n">
        <v>460</v>
      </c>
    </row>
    <row r="31">
      <c r="A31" s="12" t="inlineStr">
        <is>
          <t>March</t>
        </is>
      </c>
      <c r="B31" s="11" t="n">
        <v>266</v>
      </c>
      <c r="C31" s="11" t="n">
        <v>32.92766666666667</v>
      </c>
      <c r="D31" s="11" t="n">
        <v>298.9276666666667</v>
      </c>
      <c r="E31" s="11" t="n">
        <v>105</v>
      </c>
      <c r="F31" s="11" t="n">
        <v>30.12686111111111</v>
      </c>
      <c r="G31" s="11" t="n">
        <v>135.1268611111111</v>
      </c>
      <c r="H31" s="11" t="n">
        <v>270.383375</v>
      </c>
      <c r="I31" s="11" t="n">
        <v>704.4379027777777</v>
      </c>
      <c r="J31" s="17" t="n">
        <v>704.4379027777777</v>
      </c>
      <c r="K31" s="23" t="inlineStr">
        <is>
          <t>Y/Y/Y</t>
        </is>
      </c>
      <c r="L31" s="11" t="n">
        <v>24.43790277777771</v>
      </c>
      <c r="M31" s="11" t="n">
        <v>680</v>
      </c>
    </row>
    <row r="32">
      <c r="A32" s="12" t="inlineStr">
        <is>
          <t>April</t>
        </is>
      </c>
      <c r="B32" s="11" t="n">
        <v>231</v>
      </c>
      <c r="C32" s="11" t="n">
        <v>16.60519444444445</v>
      </c>
      <c r="D32" s="11" t="n">
        <v>247.6051944444444</v>
      </c>
      <c r="E32" s="11" t="n">
        <v>66</v>
      </c>
      <c r="F32" s="11" t="n">
        <v>52.45198611111111</v>
      </c>
      <c r="G32" s="11" t="n">
        <v>118.4519861111111</v>
      </c>
      <c r="H32" s="11" t="n">
        <v>258.288575</v>
      </c>
      <c r="I32" s="11" t="n">
        <v>624.3457555555556</v>
      </c>
      <c r="J32" s="17" t="n">
        <v>624.3457555555556</v>
      </c>
      <c r="K32" s="23" t="inlineStr">
        <is>
          <t>Y/Y/Y</t>
        </is>
      </c>
      <c r="L32" s="11" t="n">
        <v>124.3457555555556</v>
      </c>
      <c r="M32" s="11" t="n">
        <v>500</v>
      </c>
    </row>
    <row r="33">
      <c r="A33" s="18" t="inlineStr">
        <is>
          <t>4-Month Total</t>
        </is>
      </c>
      <c r="B33" s="34" t="n"/>
      <c r="C33" s="34" t="n"/>
      <c r="D33" s="34" t="n"/>
      <c r="E33" s="34" t="n"/>
      <c r="F33" s="34" t="n"/>
      <c r="G33" s="34" t="n"/>
      <c r="H33" s="34" t="n"/>
      <c r="I33" s="19" t="n">
        <v>2339.338736111111</v>
      </c>
      <c r="J33" s="19" t="n">
        <v>1827.634358333333</v>
      </c>
      <c r="K33" s="34" t="n"/>
      <c r="L33" s="19" t="n">
        <v>-162.3656416666668</v>
      </c>
      <c r="M33" s="19" t="n">
        <v>1990</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24</v>
      </c>
      <c r="G38" s="16" t="n">
        <v>31687.25</v>
      </c>
      <c r="H38" s="16" t="n">
        <v>5948.785</v>
      </c>
      <c r="I38" s="31" t="n">
        <v>0.1877343410993381</v>
      </c>
      <c r="J38" s="15" t="n">
        <v>24</v>
      </c>
      <c r="K38" s="16" t="n">
        <v>31687.25</v>
      </c>
      <c r="L38" s="16" t="n">
        <v>5948.785</v>
      </c>
      <c r="M38" s="31" t="n">
        <v>0.1877343410993381</v>
      </c>
      <c r="N38" s="16" t="n">
        <v>1194.806451612903</v>
      </c>
    </row>
    <row r="39">
      <c r="A39" s="14" t="inlineStr">
        <is>
          <t>February</t>
        </is>
      </c>
      <c r="B39" s="15" t="n">
        <v>13</v>
      </c>
      <c r="C39" s="16" t="n">
        <v>7659.5</v>
      </c>
      <c r="D39" s="16" t="n">
        <v>2095.02</v>
      </c>
      <c r="E39" s="31" t="n">
        <v>0.2735191592140479</v>
      </c>
      <c r="F39" s="15" t="n">
        <v>19</v>
      </c>
      <c r="G39" s="16" t="n">
        <v>24995.35</v>
      </c>
      <c r="H39" s="16" t="n">
        <v>3401.365</v>
      </c>
      <c r="I39" s="31" t="n">
        <v>0.1360799108634206</v>
      </c>
      <c r="J39" s="15" t="n">
        <v>19</v>
      </c>
      <c r="K39" s="16" t="n">
        <v>26058.35</v>
      </c>
      <c r="L39" s="16" t="n">
        <v>3493.115</v>
      </c>
      <c r="M39" s="31" t="n">
        <v>0.134049738375607</v>
      </c>
      <c r="N39" s="16" t="n">
        <v>589.1923076923077</v>
      </c>
    </row>
    <row r="40">
      <c r="A40" s="14" t="inlineStr">
        <is>
          <t>March</t>
        </is>
      </c>
      <c r="B40" s="15" t="n">
        <v>28</v>
      </c>
      <c r="C40" s="16" t="n">
        <v>39759.7</v>
      </c>
      <c r="D40" s="16" t="n">
        <v>5669.41</v>
      </c>
      <c r="E40" s="31" t="n">
        <v>0.142591870663008</v>
      </c>
      <c r="F40" s="15" t="n">
        <v>24</v>
      </c>
      <c r="G40" s="16" t="n">
        <v>28430.3</v>
      </c>
      <c r="H40" s="16" t="n">
        <v>4310.235</v>
      </c>
      <c r="I40" s="31" t="n">
        <v>0.1516070882122243</v>
      </c>
      <c r="J40" s="15" t="n">
        <v>25</v>
      </c>
      <c r="K40" s="16" t="n">
        <v>29464.3</v>
      </c>
      <c r="L40" s="16" t="n">
        <v>4490.684999999999</v>
      </c>
      <c r="M40" s="31" t="n">
        <v>0.152411053376459</v>
      </c>
      <c r="N40" s="16" t="n">
        <v>1419.989285714286</v>
      </c>
    </row>
    <row r="41">
      <c r="A41" s="14" t="inlineStr">
        <is>
          <t>April</t>
        </is>
      </c>
      <c r="B41" s="15" t="n">
        <v>15</v>
      </c>
      <c r="C41" s="16" t="n">
        <v>19288.35</v>
      </c>
      <c r="D41" s="16" t="n">
        <v>4344.3</v>
      </c>
      <c r="E41" s="31" t="n">
        <v>0.225229218673448</v>
      </c>
      <c r="F41" s="15" t="n">
        <v>19</v>
      </c>
      <c r="G41" s="16" t="n">
        <v>21698.1</v>
      </c>
      <c r="H41" s="16" t="n">
        <v>3830.35</v>
      </c>
      <c r="I41" s="31" t="n">
        <v>0.1765292813656495</v>
      </c>
      <c r="J41" s="15" t="n">
        <v>18</v>
      </c>
      <c r="K41" s="16" t="n">
        <v>21698.1</v>
      </c>
      <c r="L41" s="16" t="n">
        <v>3830.35</v>
      </c>
      <c r="M41" s="31" t="n">
        <v>0.1765292813656495</v>
      </c>
      <c r="N41" s="16" t="n">
        <v>1285.89</v>
      </c>
    </row>
    <row r="43">
      <c r="A43" s="32" t="inlineStr">
        <is>
          <t>THE BONUS PLAN - bonus calculation</t>
        </is>
      </c>
    </row>
    <row r="44">
      <c r="A44" s="6" t="inlineStr">
        <is>
          <t>Month</t>
        </is>
      </c>
      <c r="B44" s="6" t="inlineStr">
        <is>
          <t>NB base</t>
        </is>
      </c>
      <c r="C44" s="6" t="inlineStr">
        <is>
          <t>NB kicker</t>
        </is>
      </c>
      <c r="D44" s="6" t="inlineStr">
        <is>
          <t>NB target</t>
        </is>
      </c>
      <c r="E44" s="6" t="inlineStr">
        <is>
          <t>RWR base</t>
        </is>
      </c>
      <c r="F44" s="6" t="inlineStr">
        <is>
          <t>RWR kicker</t>
        </is>
      </c>
      <c r="G44" s="6" t="inlineStr">
        <is>
          <t>RWR target</t>
        </is>
      </c>
      <c r="H44" s="6" t="inlineStr">
        <is>
          <t>Retention bonus</t>
        </is>
      </c>
      <c r="I44" s="6" t="inlineStr">
        <is>
          <t>Total target</t>
        </is>
      </c>
      <c r="J44" s="6" t="inlineStr">
        <is>
          <t>PAID after MIN</t>
        </is>
      </c>
      <c r="K44" s="6" t="inlineStr">
        <is>
          <t>Gates</t>
        </is>
      </c>
      <c r="L44" s="6" t="inlineStr">
        <is>
          <t>vs Current</t>
        </is>
      </c>
      <c r="M44" s="6" t="inlineStr">
        <is>
          <t>Current</t>
        </is>
      </c>
    </row>
    <row r="45">
      <c r="A45" s="12" t="inlineStr">
        <is>
          <t>January</t>
        </is>
      </c>
      <c r="B45" s="11" t="n">
        <v>155</v>
      </c>
      <c r="C45" s="11" t="n">
        <v>20.48777777777778</v>
      </c>
      <c r="D45" s="11" t="n">
        <v>175.4877777777778</v>
      </c>
      <c r="E45" s="11" t="n">
        <v>72</v>
      </c>
      <c r="F45" s="11" t="n">
        <v>9.604027777777777</v>
      </c>
      <c r="G45" s="11" t="n">
        <v>81.60402777777777</v>
      </c>
      <c r="H45" s="11" t="n">
        <v>158.43625</v>
      </c>
      <c r="I45" s="11" t="n">
        <v>415.5280555555555</v>
      </c>
      <c r="J45" s="17" t="n">
        <v>158.43625</v>
      </c>
      <c r="K45" s="33" t="inlineStr">
        <is>
          <t>n/Y/n</t>
        </is>
      </c>
      <c r="L45" s="11" t="n">
        <v>-341.56375</v>
      </c>
      <c r="M45" s="11" t="n">
        <v>500</v>
      </c>
    </row>
    <row r="46">
      <c r="A46" s="12" t="inlineStr">
        <is>
          <t>February</t>
        </is>
      </c>
      <c r="B46" s="11" t="n">
        <v>65</v>
      </c>
      <c r="C46" s="11" t="n">
        <v>0</v>
      </c>
      <c r="D46" s="11" t="n">
        <v>65</v>
      </c>
      <c r="E46" s="11" t="n">
        <v>57</v>
      </c>
      <c r="F46" s="11" t="n">
        <v>0</v>
      </c>
      <c r="G46" s="11" t="n">
        <v>57</v>
      </c>
      <c r="H46" s="11" t="n">
        <v>130.29175</v>
      </c>
      <c r="I46" s="11" t="n">
        <v>252.29175</v>
      </c>
      <c r="J46" s="17" t="n">
        <v>130.29175</v>
      </c>
      <c r="K46" s="33" t="inlineStr">
        <is>
          <t>n/Y/n</t>
        </is>
      </c>
      <c r="L46" s="11" t="n">
        <v>-119.70825</v>
      </c>
      <c r="M46" s="11" t="n">
        <v>250</v>
      </c>
    </row>
    <row r="47">
      <c r="A47" s="12" t="inlineStr">
        <is>
          <t>March</t>
        </is>
      </c>
      <c r="B47" s="11" t="n">
        <v>196</v>
      </c>
      <c r="C47" s="11" t="n">
        <v>0</v>
      </c>
      <c r="D47" s="11" t="n">
        <v>196</v>
      </c>
      <c r="E47" s="11" t="n">
        <v>48</v>
      </c>
      <c r="F47" s="11" t="n">
        <v>7.794611111111111</v>
      </c>
      <c r="G47" s="11" t="n">
        <v>55.79461111111111</v>
      </c>
      <c r="H47" s="11" t="n">
        <v>147.3215</v>
      </c>
      <c r="I47" s="11" t="n">
        <v>399.1161111111111</v>
      </c>
      <c r="J47" s="17" t="n">
        <v>147.3215</v>
      </c>
      <c r="K47" s="33" t="inlineStr">
        <is>
          <t>n/Y/n</t>
        </is>
      </c>
      <c r="L47" s="11" t="n">
        <v>-322.6785</v>
      </c>
      <c r="M47" s="11" t="n">
        <v>470</v>
      </c>
    </row>
    <row r="48">
      <c r="A48" s="12" t="inlineStr">
        <is>
          <t>April</t>
        </is>
      </c>
      <c r="B48" s="11" t="n">
        <v>105</v>
      </c>
      <c r="C48" s="11" t="n">
        <v>11.4315</v>
      </c>
      <c r="D48" s="11" t="n">
        <v>116.4315</v>
      </c>
      <c r="E48" s="11" t="n">
        <v>38</v>
      </c>
      <c r="F48" s="11" t="n">
        <v>5.721166666666666</v>
      </c>
      <c r="G48" s="11" t="n">
        <v>43.72116666666667</v>
      </c>
      <c r="H48" s="11" t="n">
        <v>108.4905</v>
      </c>
      <c r="I48" s="11" t="n">
        <v>268.6431666666667</v>
      </c>
      <c r="J48" s="17" t="n">
        <v>108.4905</v>
      </c>
      <c r="K48" s="33" t="inlineStr">
        <is>
          <t>n/Y/n</t>
        </is>
      </c>
      <c r="L48" s="11" t="n">
        <v>-141.5095</v>
      </c>
      <c r="M48" s="11" t="n">
        <v>250</v>
      </c>
    </row>
    <row r="49">
      <c r="A49" s="18" t="inlineStr">
        <is>
          <t>4-Month Total</t>
        </is>
      </c>
      <c r="B49" s="34" t="n"/>
      <c r="C49" s="34" t="n"/>
      <c r="D49" s="34" t="n"/>
      <c r="E49" s="34" t="n"/>
      <c r="F49" s="34" t="n"/>
      <c r="G49" s="34" t="n"/>
      <c r="H49" s="34" t="n"/>
      <c r="I49" s="19" t="n">
        <v>1335.579083333333</v>
      </c>
      <c r="J49" s="19" t="n">
        <v>544.54</v>
      </c>
      <c r="K49" s="34" t="n"/>
      <c r="L49" s="19" t="n">
        <v>-925.46</v>
      </c>
      <c r="M49" s="19" t="n">
        <v>1470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17</v>
      </c>
      <c r="G54" s="16" t="n">
        <v>19779.025</v>
      </c>
      <c r="H54" s="16" t="n">
        <v>4397.645</v>
      </c>
      <c r="I54" s="31" t="n">
        <v>0.2223388159932049</v>
      </c>
      <c r="J54" s="15" t="n">
        <v>19</v>
      </c>
      <c r="K54" s="16" t="n">
        <v>21243.375</v>
      </c>
      <c r="L54" s="16" t="n">
        <v>4699.765</v>
      </c>
      <c r="M54" s="31" t="n">
        <v>0.2212343848376259</v>
      </c>
      <c r="N54" s="16" t="n">
        <v>1501.318421052631</v>
      </c>
    </row>
    <row r="55">
      <c r="A55" s="14" t="inlineStr">
        <is>
          <t>February</t>
        </is>
      </c>
      <c r="B55" s="15" t="n">
        <v>23</v>
      </c>
      <c r="C55" s="16" t="n">
        <v>22247.7</v>
      </c>
      <c r="D55" s="16" t="n">
        <v>3832.59</v>
      </c>
      <c r="E55" s="31" t="n">
        <v>0.1722690435415796</v>
      </c>
      <c r="F55" s="15" t="n">
        <v>21</v>
      </c>
      <c r="G55" s="16" t="n">
        <v>21843.725</v>
      </c>
      <c r="H55" s="16" t="n">
        <v>6910.045</v>
      </c>
      <c r="I55" s="31" t="n">
        <v>0.3163400473133589</v>
      </c>
      <c r="J55" s="15" t="n">
        <v>23</v>
      </c>
      <c r="K55" s="16" t="n">
        <v>23942.725</v>
      </c>
      <c r="L55" s="16" t="n">
        <v>7231.055</v>
      </c>
      <c r="M55" s="31" t="n">
        <v>0.3020147038401018</v>
      </c>
      <c r="N55" s="16" t="n">
        <v>967.2913043478261</v>
      </c>
    </row>
    <row r="56">
      <c r="A56" s="14" t="inlineStr">
        <is>
          <t>March</t>
        </is>
      </c>
      <c r="B56" s="15" t="n">
        <v>27</v>
      </c>
      <c r="C56" s="16" t="n">
        <v>31269</v>
      </c>
      <c r="D56" s="16" t="n">
        <v>8642.02</v>
      </c>
      <c r="E56" s="31" t="n">
        <v>0.2763766030253606</v>
      </c>
      <c r="F56" s="15" t="n">
        <v>13</v>
      </c>
      <c r="G56" s="16" t="n">
        <v>11763.35</v>
      </c>
      <c r="H56" s="16" t="n">
        <v>4530.315</v>
      </c>
      <c r="I56" s="31" t="n">
        <v>0.3851211602137146</v>
      </c>
      <c r="J56" s="15" t="n">
        <v>14</v>
      </c>
      <c r="K56" s="16" t="n">
        <v>11763.35</v>
      </c>
      <c r="L56" s="16" t="n">
        <v>4530.315</v>
      </c>
      <c r="M56" s="31" t="n">
        <v>0.3851211602137146</v>
      </c>
      <c r="N56" s="16" t="n">
        <v>1158.111111111111</v>
      </c>
    </row>
    <row r="57">
      <c r="A57" s="14" t="inlineStr">
        <is>
          <t>April</t>
        </is>
      </c>
      <c r="B57" s="15" t="n">
        <v>23</v>
      </c>
      <c r="C57" s="16" t="n">
        <v>29581.05</v>
      </c>
      <c r="D57" s="16" t="n">
        <v>6600.51</v>
      </c>
      <c r="E57" s="31" t="n">
        <v>0.2231330530863509</v>
      </c>
      <c r="F57" s="15" t="n">
        <v>15</v>
      </c>
      <c r="G57" s="16" t="n">
        <v>15416.38</v>
      </c>
      <c r="H57" s="16" t="n">
        <v>3855.31</v>
      </c>
      <c r="I57" s="31" t="n">
        <v>0.2500788122762931</v>
      </c>
      <c r="J57" s="15" t="n">
        <v>17</v>
      </c>
      <c r="K57" s="16" t="n">
        <v>16301.38</v>
      </c>
      <c r="L57" s="16" t="n">
        <v>4740.309999999999</v>
      </c>
      <c r="M57" s="31" t="n">
        <v>0.2907919452218156</v>
      </c>
      <c r="N57" s="16" t="n">
        <v>1286.132608695652</v>
      </c>
    </row>
    <row r="59">
      <c r="A59" s="32" t="inlineStr">
        <is>
          <t>THE BONUS PLAN - bonus calculation</t>
        </is>
      </c>
    </row>
    <row r="60">
      <c r="A60" s="6" t="inlineStr">
        <is>
          <t>Month</t>
        </is>
      </c>
      <c r="B60" s="6" t="inlineStr">
        <is>
          <t>NB base</t>
        </is>
      </c>
      <c r="C60" s="6" t="inlineStr">
        <is>
          <t>NB kicker</t>
        </is>
      </c>
      <c r="D60" s="6" t="inlineStr">
        <is>
          <t>NB target</t>
        </is>
      </c>
      <c r="E60" s="6" t="inlineStr">
        <is>
          <t>RWR base</t>
        </is>
      </c>
      <c r="F60" s="6" t="inlineStr">
        <is>
          <t>RWR kicker</t>
        </is>
      </c>
      <c r="G60" s="6" t="inlineStr">
        <is>
          <t>RWR target</t>
        </is>
      </c>
      <c r="H60" s="6" t="inlineStr">
        <is>
          <t>Retention bonus</t>
        </is>
      </c>
      <c r="I60" s="6" t="inlineStr">
        <is>
          <t>Total target</t>
        </is>
      </c>
      <c r="J60" s="6" t="inlineStr">
        <is>
          <t>PAID after MIN</t>
        </is>
      </c>
      <c r="K60" s="6" t="inlineStr">
        <is>
          <t>Gates</t>
        </is>
      </c>
      <c r="L60" s="6" t="inlineStr">
        <is>
          <t>vs Current</t>
        </is>
      </c>
      <c r="M60" s="6" t="inlineStr">
        <is>
          <t>Current</t>
        </is>
      </c>
    </row>
    <row r="61">
      <c r="A61" s="12" t="inlineStr">
        <is>
          <t>January</t>
        </is>
      </c>
      <c r="B61" s="11" t="n">
        <v>133</v>
      </c>
      <c r="C61" s="11" t="n">
        <v>9.513916666666665</v>
      </c>
      <c r="D61" s="11" t="n">
        <v>142.5139166666667</v>
      </c>
      <c r="E61" s="11" t="n">
        <v>34</v>
      </c>
      <c r="F61" s="11" t="n">
        <v>10.64336111111111</v>
      </c>
      <c r="G61" s="11" t="n">
        <v>44.64336111111111</v>
      </c>
      <c r="H61" s="11" t="n">
        <v>106.216875</v>
      </c>
      <c r="I61" s="11" t="n">
        <v>293.3741527777778</v>
      </c>
      <c r="J61" s="17" t="n">
        <v>106.216875</v>
      </c>
      <c r="K61" s="33" t="inlineStr">
        <is>
          <t>n/Y/n</t>
        </is>
      </c>
      <c r="L61" s="11" t="n">
        <v>-243.783125</v>
      </c>
      <c r="M61" s="11" t="n">
        <v>350</v>
      </c>
    </row>
    <row r="62">
      <c r="A62" s="12" t="inlineStr">
        <is>
          <t>February</t>
        </is>
      </c>
      <c r="B62" s="11" t="n">
        <v>115</v>
      </c>
      <c r="C62" s="11" t="n">
        <v>4.693166666666667</v>
      </c>
      <c r="D62" s="11" t="n">
        <v>119.6931666666667</v>
      </c>
      <c r="E62" s="11" t="n">
        <v>42</v>
      </c>
      <c r="F62" s="11" t="n">
        <v>25.67701388888889</v>
      </c>
      <c r="G62" s="11" t="n">
        <v>67.67701388888889</v>
      </c>
      <c r="H62" s="11" t="n">
        <v>119.713625</v>
      </c>
      <c r="I62" s="11" t="n">
        <v>307.0838055555556</v>
      </c>
      <c r="J62" s="17" t="n">
        <v>119.713625</v>
      </c>
      <c r="K62" s="33" t="inlineStr">
        <is>
          <t>n/Y/n</t>
        </is>
      </c>
      <c r="L62" s="11" t="n">
        <v>-230.286375</v>
      </c>
      <c r="M62" s="11" t="n">
        <v>350</v>
      </c>
    </row>
    <row r="63">
      <c r="A63" s="12" t="inlineStr">
        <is>
          <t>March</t>
        </is>
      </c>
      <c r="B63" s="11" t="n">
        <v>135</v>
      </c>
      <c r="C63" s="11" t="n">
        <v>41.85833333333333</v>
      </c>
      <c r="D63" s="11" t="n">
        <v>176.8583333333333</v>
      </c>
      <c r="E63" s="11" t="n">
        <v>26</v>
      </c>
      <c r="F63" s="11" t="n">
        <v>11.00930555555555</v>
      </c>
      <c r="G63" s="11" t="n">
        <v>37.00930555555556</v>
      </c>
      <c r="H63" s="11" t="n">
        <v>58.81675000000001</v>
      </c>
      <c r="I63" s="11" t="n">
        <v>272.6843888888889</v>
      </c>
      <c r="J63" s="17" t="n">
        <v>58.81675000000001</v>
      </c>
      <c r="K63" s="33" t="inlineStr">
        <is>
          <t>n/Y/n</t>
        </is>
      </c>
      <c r="L63" s="11" t="n">
        <v>-291.18325</v>
      </c>
      <c r="M63" s="11" t="n">
        <v>350</v>
      </c>
    </row>
    <row r="64">
      <c r="A64" s="12" t="inlineStr">
        <is>
          <t>April</t>
        </is>
      </c>
      <c r="B64" s="11" t="n">
        <v>161</v>
      </c>
      <c r="C64" s="11" t="n">
        <v>17.5345</v>
      </c>
      <c r="D64" s="11" t="n">
        <v>178.5345</v>
      </c>
      <c r="E64" s="11" t="n">
        <v>30</v>
      </c>
      <c r="F64" s="11" t="n">
        <v>17.82327777777778</v>
      </c>
      <c r="G64" s="11" t="n">
        <v>47.82327777777778</v>
      </c>
      <c r="H64" s="11" t="n">
        <v>81.5069</v>
      </c>
      <c r="I64" s="11" t="n">
        <v>307.8646777777778</v>
      </c>
      <c r="J64" s="17" t="n">
        <v>81.5069</v>
      </c>
      <c r="K64" s="33" t="inlineStr">
        <is>
          <t>n/Y/n</t>
        </is>
      </c>
      <c r="L64" s="11" t="n">
        <v>-268.4931</v>
      </c>
      <c r="M64" s="11" t="n">
        <v>350</v>
      </c>
    </row>
    <row r="65">
      <c r="A65" s="18" t="inlineStr">
        <is>
          <t>4-Month Total</t>
        </is>
      </c>
      <c r="B65" s="34" t="n"/>
      <c r="C65" s="34" t="n"/>
      <c r="D65" s="34" t="n"/>
      <c r="E65" s="34" t="n"/>
      <c r="F65" s="34" t="n"/>
      <c r="G65" s="34" t="n"/>
      <c r="H65" s="34" t="n"/>
      <c r="I65" s="19" t="n">
        <v>1181.007025</v>
      </c>
      <c r="J65" s="19" t="n">
        <v>366.25415</v>
      </c>
      <c r="K65" s="34" t="n"/>
      <c r="L65" s="19" t="n">
        <v>-1033.74585</v>
      </c>
      <c r="M65" s="19" t="n">
        <v>1400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14</v>
      </c>
      <c r="G70" s="16" t="n">
        <v>16541.965</v>
      </c>
      <c r="H70" s="16" t="n">
        <v>3230.74</v>
      </c>
      <c r="I70" s="31" t="n">
        <v>0.1953056967536807</v>
      </c>
      <c r="J70" s="15" t="n">
        <v>18</v>
      </c>
      <c r="K70" s="16" t="n">
        <v>20231.965</v>
      </c>
      <c r="L70" s="16" t="n">
        <v>3872.78</v>
      </c>
      <c r="M70" s="31" t="n">
        <v>0.1914188760211873</v>
      </c>
      <c r="N70" s="16" t="n">
        <v>1550.39</v>
      </c>
    </row>
    <row r="71">
      <c r="A71" s="14" t="inlineStr">
        <is>
          <t>February</t>
        </is>
      </c>
      <c r="B71" s="15" t="n">
        <v>14</v>
      </c>
      <c r="C71" s="16" t="n">
        <v>19414.25</v>
      </c>
      <c r="D71" s="16" t="n">
        <v>3640.91</v>
      </c>
      <c r="E71" s="31" t="n">
        <v>0.1875380197535315</v>
      </c>
      <c r="F71" s="15" t="n">
        <v>12</v>
      </c>
      <c r="G71" s="16" t="n">
        <v>14149.08</v>
      </c>
      <c r="H71" s="16" t="n">
        <v>2638.06</v>
      </c>
      <c r="I71" s="31" t="n">
        <v>0.186447458067945</v>
      </c>
      <c r="J71" s="15" t="n">
        <v>17</v>
      </c>
      <c r="K71" s="16" t="n">
        <v>21595.08</v>
      </c>
      <c r="L71" s="16" t="n">
        <v>5931.2</v>
      </c>
      <c r="M71" s="31" t="n">
        <v>0.2746551529329829</v>
      </c>
      <c r="N71" s="16" t="n">
        <v>1386.732142857143</v>
      </c>
    </row>
    <row r="72">
      <c r="A72" s="14" t="inlineStr">
        <is>
          <t>March</t>
        </is>
      </c>
      <c r="B72" s="15" t="n">
        <v>19</v>
      </c>
      <c r="C72" s="16" t="n">
        <v>17843.69</v>
      </c>
      <c r="D72" s="16" t="n">
        <v>4965.76</v>
      </c>
      <c r="E72" s="31" t="n">
        <v>0.2782922142225067</v>
      </c>
      <c r="F72" s="15" t="n">
        <v>9</v>
      </c>
      <c r="G72" s="16" t="n">
        <v>9920.424999999999</v>
      </c>
      <c r="H72" s="16" t="n">
        <v>1990.82</v>
      </c>
      <c r="I72" s="31" t="n">
        <v>0.2006789023655741</v>
      </c>
      <c r="J72" s="15" t="n">
        <v>16</v>
      </c>
      <c r="K72" s="16" t="n">
        <v>15564.325</v>
      </c>
      <c r="L72" s="16" t="n">
        <v>3566.68</v>
      </c>
      <c r="M72" s="31" t="n">
        <v>0.2291573839533677</v>
      </c>
      <c r="N72" s="16" t="n">
        <v>939.1415789473683</v>
      </c>
    </row>
    <row r="73">
      <c r="A73" s="14" t="inlineStr">
        <is>
          <t>April</t>
        </is>
      </c>
      <c r="B73" s="15" t="n">
        <v>9</v>
      </c>
      <c r="C73" s="16" t="n">
        <v>14099</v>
      </c>
      <c r="D73" s="16" t="n">
        <v>3941.94</v>
      </c>
      <c r="E73" s="31" t="n">
        <v>0.2795900418469395</v>
      </c>
      <c r="F73" s="15" t="n">
        <v>15</v>
      </c>
      <c r="G73" s="16" t="n">
        <v>19897.2</v>
      </c>
      <c r="H73" s="16" t="n">
        <v>3837.45</v>
      </c>
      <c r="I73" s="31" t="n">
        <v>0.1928638200349798</v>
      </c>
      <c r="J73" s="15" t="n">
        <v>17</v>
      </c>
      <c r="K73" s="16" t="n">
        <v>23514.2</v>
      </c>
      <c r="L73" s="16" t="n">
        <v>6934.03</v>
      </c>
      <c r="M73" s="31" t="n">
        <v>0.2948869193933878</v>
      </c>
      <c r="N73" s="16" t="n">
        <v>1566.555555555556</v>
      </c>
    </row>
    <row r="75">
      <c r="A75" s="32" t="inlineStr">
        <is>
          <t>THE BONUS PLAN - bonus calculation</t>
        </is>
      </c>
    </row>
    <row r="76">
      <c r="A76" s="6" t="inlineStr">
        <is>
          <t>Month</t>
        </is>
      </c>
      <c r="B76" s="6" t="inlineStr">
        <is>
          <t>NB base</t>
        </is>
      </c>
      <c r="C76" s="6" t="inlineStr">
        <is>
          <t>NB kicker</t>
        </is>
      </c>
      <c r="D76" s="6" t="inlineStr">
        <is>
          <t>NB target</t>
        </is>
      </c>
      <c r="E76" s="6" t="inlineStr">
        <is>
          <t>RWR base</t>
        </is>
      </c>
      <c r="F76" s="6" t="inlineStr">
        <is>
          <t>RWR kicker</t>
        </is>
      </c>
      <c r="G76" s="6" t="inlineStr">
        <is>
          <t>RWR target</t>
        </is>
      </c>
      <c r="H76" s="6" t="inlineStr">
        <is>
          <t>Retention bonus</t>
        </is>
      </c>
      <c r="I76" s="6" t="inlineStr">
        <is>
          <t>Total target</t>
        </is>
      </c>
      <c r="J76" s="6" t="inlineStr">
        <is>
          <t>PAID after MIN</t>
        </is>
      </c>
      <c r="K76" s="6" t="inlineStr">
        <is>
          <t>Gates</t>
        </is>
      </c>
      <c r="L76" s="6" t="inlineStr">
        <is>
          <t>vs Current</t>
        </is>
      </c>
      <c r="M76" s="6" t="inlineStr">
        <is>
          <t>Current</t>
        </is>
      </c>
    </row>
    <row r="77">
      <c r="A77" s="12" t="inlineStr">
        <is>
          <t>January</t>
        </is>
      </c>
      <c r="B77" s="11" t="n">
        <v>70</v>
      </c>
      <c r="C77" s="11" t="n">
        <v>0</v>
      </c>
      <c r="D77" s="11" t="n">
        <v>70</v>
      </c>
      <c r="E77" s="11" t="n">
        <v>28</v>
      </c>
      <c r="F77" s="11" t="n">
        <v>4.523313888888889</v>
      </c>
      <c r="G77" s="11" t="n">
        <v>32.52331388888889</v>
      </c>
      <c r="H77" s="11" t="n">
        <v>101.159825</v>
      </c>
      <c r="I77" s="11" t="n">
        <v>203.6831388888889</v>
      </c>
      <c r="J77" s="17" t="n">
        <v>101.159825</v>
      </c>
      <c r="K77" s="33" t="inlineStr">
        <is>
          <t>n/Y/n</t>
        </is>
      </c>
      <c r="L77" s="11" t="n">
        <v>101.159825</v>
      </c>
      <c r="M77" s="11" t="n">
        <v>0</v>
      </c>
    </row>
    <row r="78">
      <c r="A78" s="12" t="inlineStr">
        <is>
          <t>February</t>
        </is>
      </c>
      <c r="B78" s="11" t="n">
        <v>98</v>
      </c>
      <c r="C78" s="11" t="n">
        <v>6.119027777777778</v>
      </c>
      <c r="D78" s="11" t="n">
        <v>104.1190277777778</v>
      </c>
      <c r="E78" s="11" t="n">
        <v>24</v>
      </c>
      <c r="F78" s="11" t="n">
        <v>3.860599999999999</v>
      </c>
      <c r="G78" s="11" t="n">
        <v>27.8606</v>
      </c>
      <c r="H78" s="11" t="n">
        <v>107.9754</v>
      </c>
      <c r="I78" s="11" t="n">
        <v>239.9550277777778</v>
      </c>
      <c r="J78" s="17" t="n">
        <v>107.9754</v>
      </c>
      <c r="K78" s="33" t="inlineStr">
        <is>
          <t>n/Y/n</t>
        </is>
      </c>
      <c r="L78" s="11" t="n">
        <v>107.9754</v>
      </c>
      <c r="M78" s="11" t="n">
        <v>0</v>
      </c>
    </row>
    <row r="79">
      <c r="A79" s="12" t="inlineStr">
        <is>
          <t>March</t>
        </is>
      </c>
      <c r="B79" s="11" t="n">
        <v>95</v>
      </c>
      <c r="C79" s="11" t="n">
        <v>17.89913888888888</v>
      </c>
      <c r="D79" s="11" t="n">
        <v>112.8991388888889</v>
      </c>
      <c r="E79" s="11" t="n">
        <v>18</v>
      </c>
      <c r="F79" s="11" t="n">
        <v>5.022694444444443</v>
      </c>
      <c r="G79" s="11" t="n">
        <v>23.02269444444444</v>
      </c>
      <c r="H79" s="11" t="n">
        <v>77.821625</v>
      </c>
      <c r="I79" s="11" t="n">
        <v>213.7434583333333</v>
      </c>
      <c r="J79" s="17" t="n">
        <v>77.821625</v>
      </c>
      <c r="K79" s="33" t="inlineStr">
        <is>
          <t>n/Y/n</t>
        </is>
      </c>
      <c r="L79" s="11" t="n">
        <v>77.821625</v>
      </c>
      <c r="M79" s="11" t="n">
        <v>0</v>
      </c>
    </row>
    <row r="80">
      <c r="A80" s="12" t="inlineStr">
        <is>
          <t>April</t>
        </is>
      </c>
      <c r="B80" s="11" t="n">
        <v>63</v>
      </c>
      <c r="C80" s="11" t="n">
        <v>24.16388888888889</v>
      </c>
      <c r="D80" s="11" t="n">
        <v>87.16388888888889</v>
      </c>
      <c r="E80" s="11" t="n">
        <v>45</v>
      </c>
      <c r="F80" s="11" t="n">
        <v>6.054</v>
      </c>
      <c r="G80" s="11" t="n">
        <v>51.054</v>
      </c>
      <c r="H80" s="11" t="n">
        <v>117.571</v>
      </c>
      <c r="I80" s="11" t="n">
        <v>255.7888888888889</v>
      </c>
      <c r="J80" s="17" t="n">
        <v>117.571</v>
      </c>
      <c r="K80" s="33" t="inlineStr">
        <is>
          <t>n/Y/n</t>
        </is>
      </c>
      <c r="L80" s="11" t="n">
        <v>117.571</v>
      </c>
      <c r="M80" s="11" t="n">
        <v>0</v>
      </c>
    </row>
    <row r="81">
      <c r="A81" s="18" t="inlineStr">
        <is>
          <t>4-Month Total</t>
        </is>
      </c>
      <c r="B81" s="34" t="n"/>
      <c r="C81" s="34" t="n"/>
      <c r="D81" s="34" t="n"/>
      <c r="E81" s="34" t="n"/>
      <c r="F81" s="34" t="n"/>
      <c r="G81" s="34" t="n"/>
      <c r="H81" s="34" t="n"/>
      <c r="I81" s="19" t="n">
        <v>913.1705138888889</v>
      </c>
      <c r="J81" s="19" t="n">
        <v>404.52785</v>
      </c>
      <c r="K81" s="34" t="n"/>
      <c r="L81" s="19" t="n">
        <v>404.52785</v>
      </c>
      <c r="M81" s="19" t="n">
        <v>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19</v>
      </c>
      <c r="G86" s="16" t="n">
        <v>24306.48</v>
      </c>
      <c r="H86" s="16" t="n">
        <v>4101.94</v>
      </c>
      <c r="I86" s="31" t="n">
        <v>0.1687591127962584</v>
      </c>
      <c r="J86" s="15" t="n">
        <v>24</v>
      </c>
      <c r="K86" s="16" t="n">
        <v>30809.39</v>
      </c>
      <c r="L86" s="16" t="n">
        <v>5541.24</v>
      </c>
      <c r="M86" s="31" t="n">
        <v>0.179855557023362</v>
      </c>
      <c r="N86" s="16" t="n">
        <v>1243.708260869565</v>
      </c>
    </row>
    <row r="87">
      <c r="A87" s="14" t="inlineStr">
        <is>
          <t>February</t>
        </is>
      </c>
      <c r="B87" s="15" t="n">
        <v>21</v>
      </c>
      <c r="C87" s="16" t="n">
        <v>31516.95</v>
      </c>
      <c r="D87" s="16" t="n">
        <v>6512.87</v>
      </c>
      <c r="E87" s="31" t="n">
        <v>0.206646582235908</v>
      </c>
      <c r="F87" s="15" t="n">
        <v>15</v>
      </c>
      <c r="G87" s="16" t="n">
        <v>23614.09</v>
      </c>
      <c r="H87" s="16" t="n">
        <v>3577.615</v>
      </c>
      <c r="I87" s="31" t="n">
        <v>0.1515034032647457</v>
      </c>
      <c r="J87" s="15" t="n">
        <v>16</v>
      </c>
      <c r="K87" s="16" t="n">
        <v>26706.09</v>
      </c>
      <c r="L87" s="16" t="n">
        <v>3850.485</v>
      </c>
      <c r="M87" s="31" t="n">
        <v>0.1441800353402538</v>
      </c>
      <c r="N87" s="16" t="n">
        <v>1500.807142857143</v>
      </c>
    </row>
    <row r="88">
      <c r="A88" s="14" t="inlineStr">
        <is>
          <t>March</t>
        </is>
      </c>
      <c r="B88" s="15" t="n">
        <v>36</v>
      </c>
      <c r="C88" s="16" t="n">
        <v>68546.22</v>
      </c>
      <c r="D88" s="16" t="n">
        <v>17019.79</v>
      </c>
      <c r="E88" s="31" t="n">
        <v>0.2482965508528406</v>
      </c>
      <c r="F88" s="15" t="n">
        <v>14</v>
      </c>
      <c r="G88" s="16" t="n">
        <v>19627.325</v>
      </c>
      <c r="H88" s="16" t="n">
        <v>2650.265</v>
      </c>
      <c r="I88" s="31" t="n">
        <v>0.135029353210384</v>
      </c>
      <c r="J88" s="15" t="n">
        <v>14</v>
      </c>
      <c r="K88" s="16" t="n">
        <v>19627.325</v>
      </c>
      <c r="L88" s="16" t="n">
        <v>2650.265</v>
      </c>
      <c r="M88" s="31" t="n">
        <v>0.135029353210384</v>
      </c>
      <c r="N88" s="16" t="n">
        <v>1904.061666666667</v>
      </c>
    </row>
    <row r="89">
      <c r="A89" s="14" t="inlineStr">
        <is>
          <t>April</t>
        </is>
      </c>
      <c r="B89" s="15" t="n">
        <v>22</v>
      </c>
      <c r="C89" s="16" t="n">
        <v>29755.49</v>
      </c>
      <c r="D89" s="16" t="n">
        <v>6197.26</v>
      </c>
      <c r="E89" s="31" t="n">
        <v>0.2082728262918876</v>
      </c>
      <c r="F89" s="15" t="n">
        <v>11</v>
      </c>
      <c r="G89" s="16" t="n">
        <v>17639.95</v>
      </c>
      <c r="H89" s="16" t="n">
        <v>3652.895</v>
      </c>
      <c r="I89" s="31" t="n">
        <v>0.2070808023832267</v>
      </c>
      <c r="J89" s="15" t="n">
        <v>13</v>
      </c>
      <c r="K89" s="16" t="n">
        <v>20153.95</v>
      </c>
      <c r="L89" s="16" t="n">
        <v>3944.015</v>
      </c>
      <c r="M89" s="31" t="n">
        <v>0.1956943924143902</v>
      </c>
      <c r="N89" s="16" t="n">
        <v>1352.522272727273</v>
      </c>
    </row>
    <row r="91">
      <c r="A91" s="32" t="inlineStr">
        <is>
          <t>THE BONUS PLAN - bonus calculation</t>
        </is>
      </c>
    </row>
    <row r="92">
      <c r="A92" s="6" t="inlineStr">
        <is>
          <t>Month</t>
        </is>
      </c>
      <c r="B92" s="6" t="inlineStr">
        <is>
          <t>NB base</t>
        </is>
      </c>
      <c r="C92" s="6" t="inlineStr">
        <is>
          <t>NB kicker</t>
        </is>
      </c>
      <c r="D92" s="6" t="inlineStr">
        <is>
          <t>NB target</t>
        </is>
      </c>
      <c r="E92" s="6" t="inlineStr">
        <is>
          <t>RWR base</t>
        </is>
      </c>
      <c r="F92" s="6" t="inlineStr">
        <is>
          <t>RWR kicker</t>
        </is>
      </c>
      <c r="G92" s="6" t="inlineStr">
        <is>
          <t>RWR target</t>
        </is>
      </c>
      <c r="H92" s="6" t="inlineStr">
        <is>
          <t>Retention bonus</t>
        </is>
      </c>
      <c r="I92" s="6" t="inlineStr">
        <is>
          <t>Total target</t>
        </is>
      </c>
      <c r="J92" s="6" t="inlineStr">
        <is>
          <t>PAID after MIN</t>
        </is>
      </c>
      <c r="K92" s="6" t="inlineStr">
        <is>
          <t>Gates</t>
        </is>
      </c>
      <c r="L92" s="6" t="inlineStr">
        <is>
          <t>vs Current</t>
        </is>
      </c>
      <c r="M92" s="6" t="inlineStr">
        <is>
          <t>Current</t>
        </is>
      </c>
    </row>
    <row r="93">
      <c r="A93" s="12" t="inlineStr">
        <is>
          <t>January</t>
        </is>
      </c>
      <c r="B93" s="11" t="n">
        <v>161</v>
      </c>
      <c r="C93" s="11" t="n">
        <v>16.45032222222222</v>
      </c>
      <c r="D93" s="11" t="n">
        <v>177.4503222222222</v>
      </c>
      <c r="E93" s="11" t="n">
        <v>57</v>
      </c>
      <c r="F93" s="11" t="n">
        <v>7.170266666666666</v>
      </c>
      <c r="G93" s="11" t="n">
        <v>64.17026666666666</v>
      </c>
      <c r="H93" s="11" t="n">
        <v>154.04695</v>
      </c>
      <c r="I93" s="11" t="n">
        <v>395.6675388888889</v>
      </c>
      <c r="J93" s="17" t="n">
        <v>154.04695</v>
      </c>
      <c r="K93" s="33" t="inlineStr">
        <is>
          <t>n/Y/n</t>
        </is>
      </c>
      <c r="L93" s="11" t="n">
        <v>-195.95305</v>
      </c>
      <c r="M93" s="11" t="n">
        <v>350</v>
      </c>
    </row>
    <row r="94">
      <c r="A94" s="12" t="inlineStr">
        <is>
          <t>February</t>
        </is>
      </c>
      <c r="B94" s="11" t="n">
        <v>147</v>
      </c>
      <c r="C94" s="11" t="n">
        <v>21.01883333333334</v>
      </c>
      <c r="D94" s="11" t="n">
        <v>168.0188333333333</v>
      </c>
      <c r="E94" s="11" t="n">
        <v>45</v>
      </c>
      <c r="F94" s="11" t="n">
        <v>8.11893888888889</v>
      </c>
      <c r="G94" s="11" t="n">
        <v>53.11893888888889</v>
      </c>
      <c r="H94" s="11" t="n">
        <v>133.53045</v>
      </c>
      <c r="I94" s="11" t="n">
        <v>354.6682222222222</v>
      </c>
      <c r="J94" s="17" t="n">
        <v>133.53045</v>
      </c>
      <c r="K94" s="33" t="inlineStr">
        <is>
          <t>n/Y/n</t>
        </is>
      </c>
      <c r="L94" s="11" t="n">
        <v>-216.46955</v>
      </c>
      <c r="M94" s="11" t="n">
        <v>350</v>
      </c>
    </row>
    <row r="95">
      <c r="A95" s="12" t="inlineStr">
        <is>
          <t>March</t>
        </is>
      </c>
      <c r="B95" s="11" t="n">
        <v>360</v>
      </c>
      <c r="C95" s="11" t="n">
        <v>52.16246666666667</v>
      </c>
      <c r="D95" s="11" t="n">
        <v>412.1624666666667</v>
      </c>
      <c r="E95" s="11" t="n">
        <v>42</v>
      </c>
      <c r="F95" s="11" t="n">
        <v>0</v>
      </c>
      <c r="G95" s="11" t="n">
        <v>42</v>
      </c>
      <c r="H95" s="11" t="n">
        <v>98.13662500000001</v>
      </c>
      <c r="I95" s="11" t="n">
        <v>552.2990916666666</v>
      </c>
      <c r="J95" s="17" t="n">
        <v>552.2990916666666</v>
      </c>
      <c r="K95" s="23" t="inlineStr">
        <is>
          <t>Y/Y/Y</t>
        </is>
      </c>
      <c r="L95" s="11" t="n">
        <v>102.2990916666666</v>
      </c>
      <c r="M95" s="11" t="n">
        <v>450</v>
      </c>
    </row>
    <row r="96">
      <c r="A96" s="12" t="inlineStr">
        <is>
          <t>April</t>
        </is>
      </c>
      <c r="B96" s="11" t="n">
        <v>154</v>
      </c>
      <c r="C96" s="11" t="n">
        <v>18.39498888888889</v>
      </c>
      <c r="D96" s="11" t="n">
        <v>172.3949888888889</v>
      </c>
      <c r="E96" s="11" t="n">
        <v>33</v>
      </c>
      <c r="F96" s="11" t="n">
        <v>12.26661111111111</v>
      </c>
      <c r="G96" s="11" t="n">
        <v>45.26661111111111</v>
      </c>
      <c r="H96" s="11" t="n">
        <v>100.76975</v>
      </c>
      <c r="I96" s="11" t="n">
        <v>318.43135</v>
      </c>
      <c r="J96" s="17" t="n">
        <v>100.76975</v>
      </c>
      <c r="K96" s="33" t="inlineStr">
        <is>
          <t>n/Y/n</t>
        </is>
      </c>
      <c r="L96" s="11" t="n">
        <v>-149.23025</v>
      </c>
      <c r="M96" s="11" t="n">
        <v>250</v>
      </c>
    </row>
    <row r="97">
      <c r="A97" s="18" t="inlineStr">
        <is>
          <t>4-Month Total</t>
        </is>
      </c>
      <c r="B97" s="34" t="n"/>
      <c r="C97" s="34" t="n"/>
      <c r="D97" s="34" t="n"/>
      <c r="E97" s="34" t="n"/>
      <c r="F97" s="34" t="n"/>
      <c r="G97" s="34" t="n"/>
      <c r="H97" s="34" t="n"/>
      <c r="I97" s="19" t="n">
        <v>1621.066202777778</v>
      </c>
      <c r="J97" s="19" t="n">
        <v>940.6462416666667</v>
      </c>
      <c r="K97" s="34" t="n"/>
      <c r="L97" s="19" t="n">
        <v>-459.3537583333333</v>
      </c>
      <c r="M97" s="19" t="n">
        <v>1400</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8" defaultRowHeight="15"/>
  <cols>
    <col width="10" customWidth="1" min="1" max="1"/>
    <col width="11" customWidth="1" min="2" max="2"/>
    <col width="13" customWidth="1" min="3" max="3"/>
    <col width="13" customWidth="1" min="4" max="4"/>
    <col width="11" customWidth="1" min="5" max="5"/>
    <col width="11" customWidth="1" min="6" max="6"/>
    <col width="13" customWidth="1" min="7" max="7"/>
    <col width="16" customWidth="1" min="8" max="8"/>
    <col width="12" customWidth="1" min="9" max="9"/>
    <col width="14" customWidth="1" min="10" max="10"/>
    <col width="8" customWidth="1" min="11" max="11"/>
    <col width="12" customWidth="1" min="12" max="12"/>
    <col width="11" customWidth="1" min="13" max="13"/>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BONUS PLAN - bonus calculation under 100% FLIP</t>
        </is>
      </c>
    </row>
    <row r="12">
      <c r="A12" s="6" t="inlineStr">
        <is>
          <t>Month</t>
        </is>
      </c>
      <c r="B12" s="6" t="inlineStr">
        <is>
          <t>NB base</t>
        </is>
      </c>
      <c r="C12" s="6" t="inlineStr">
        <is>
          <t>NB kicker</t>
        </is>
      </c>
      <c r="D12" s="6" t="inlineStr">
        <is>
          <t>NB target</t>
        </is>
      </c>
      <c r="E12" s="6" t="inlineStr">
        <is>
          <t>RWR base</t>
        </is>
      </c>
      <c r="F12" s="6" t="inlineStr">
        <is>
          <t>RWR kicker</t>
        </is>
      </c>
      <c r="G12" s="6" t="inlineStr">
        <is>
          <t>RWR target</t>
        </is>
      </c>
      <c r="H12" s="6" t="inlineStr">
        <is>
          <t>Retention bonus</t>
        </is>
      </c>
      <c r="I12" s="6" t="inlineStr">
        <is>
          <t>Total target</t>
        </is>
      </c>
      <c r="J12" s="6" t="inlineStr">
        <is>
          <t>PAID after MIN</t>
        </is>
      </c>
      <c r="K12" s="6" t="inlineStr">
        <is>
          <t>Gates</t>
        </is>
      </c>
      <c r="L12" s="6" t="inlineStr">
        <is>
          <t>vs Current</t>
        </is>
      </c>
      <c r="M12" s="6" t="inlineStr">
        <is>
          <t>Current</t>
        </is>
      </c>
    </row>
    <row r="13">
      <c r="A13" s="12" t="inlineStr">
        <is>
          <t>January</t>
        </is>
      </c>
      <c r="B13" s="11" t="n">
        <v>175</v>
      </c>
      <c r="C13" s="11" t="n">
        <v>0</v>
      </c>
      <c r="D13" s="11" t="n">
        <v>175</v>
      </c>
      <c r="E13" s="11" t="n">
        <v>18</v>
      </c>
      <c r="F13" s="11" t="n">
        <v>2.45</v>
      </c>
      <c r="G13" s="11" t="n">
        <v>20.45</v>
      </c>
      <c r="H13" s="11" t="n">
        <v>137.5925</v>
      </c>
      <c r="I13" s="11" t="n">
        <v>333.0425</v>
      </c>
      <c r="J13" s="17" t="n">
        <v>137.5925</v>
      </c>
      <c r="K13" s="33" t="inlineStr">
        <is>
          <t>n/Y/n</t>
        </is>
      </c>
      <c r="L13" s="11" t="n">
        <v>-112.4075</v>
      </c>
      <c r="M13" s="11" t="n">
        <v>250</v>
      </c>
    </row>
    <row r="14">
      <c r="A14" s="12" t="inlineStr">
        <is>
          <t>February</t>
        </is>
      </c>
      <c r="B14" s="11" t="n">
        <v>130</v>
      </c>
      <c r="C14" s="11" t="n">
        <v>0</v>
      </c>
      <c r="D14" s="11" t="n">
        <v>130</v>
      </c>
      <c r="E14" s="11" t="n">
        <v>14</v>
      </c>
      <c r="F14" s="11" t="n">
        <v>1.842777777777778</v>
      </c>
      <c r="G14" s="11" t="n">
        <v>15.84277777777778</v>
      </c>
      <c r="H14" s="11" t="n">
        <v>153.215</v>
      </c>
      <c r="I14" s="11" t="n">
        <v>299.0577777777778</v>
      </c>
      <c r="J14" s="17" t="n">
        <v>153.215</v>
      </c>
      <c r="K14" s="33" t="inlineStr">
        <is>
          <t>n/Y/n</t>
        </is>
      </c>
      <c r="L14" s="11" t="n">
        <v>153.215</v>
      </c>
      <c r="M14" s="11" t="n">
        <v>0</v>
      </c>
    </row>
    <row r="15">
      <c r="A15" s="12" t="inlineStr">
        <is>
          <t>March</t>
        </is>
      </c>
      <c r="B15" s="11" t="n">
        <v>210</v>
      </c>
      <c r="C15" s="11" t="n">
        <v>0</v>
      </c>
      <c r="D15" s="11" t="n">
        <v>210</v>
      </c>
      <c r="E15" s="11" t="n">
        <v>10</v>
      </c>
      <c r="F15" s="11" t="n">
        <v>2.502777777777778</v>
      </c>
      <c r="G15" s="11" t="n">
        <v>12.50277777777778</v>
      </c>
      <c r="H15" s="11" t="n">
        <v>126.138</v>
      </c>
      <c r="I15" s="11" t="n">
        <v>348.6407777777778</v>
      </c>
      <c r="J15" s="17" t="n">
        <v>348.6407777777778</v>
      </c>
      <c r="K15" s="23" t="inlineStr">
        <is>
          <t>Y/Y/Y</t>
        </is>
      </c>
      <c r="L15" s="11" t="n">
        <v>-1.359222222222229</v>
      </c>
      <c r="M15" s="11" t="n">
        <v>350</v>
      </c>
    </row>
    <row r="16">
      <c r="A16" s="12" t="inlineStr">
        <is>
          <t>April</t>
        </is>
      </c>
      <c r="B16" s="11" t="n">
        <v>189</v>
      </c>
      <c r="C16" s="11" t="n">
        <v>24.02881111111111</v>
      </c>
      <c r="D16" s="11" t="n">
        <v>213.0288111111111</v>
      </c>
      <c r="E16" s="11" t="n">
        <v>26</v>
      </c>
      <c r="F16" s="11" t="n">
        <v>8.711083333333335</v>
      </c>
      <c r="G16" s="11" t="n">
        <v>34.71108333333333</v>
      </c>
      <c r="H16" s="11" t="n">
        <v>76.80975000000001</v>
      </c>
      <c r="I16" s="11" t="n">
        <v>324.5496444444444</v>
      </c>
      <c r="J16" s="17" t="n">
        <v>76.80975000000001</v>
      </c>
      <c r="K16" s="33" t="inlineStr">
        <is>
          <t>n/Y/n</t>
        </is>
      </c>
      <c r="L16" s="11" t="n">
        <v>-273.19025</v>
      </c>
      <c r="M16" s="11" t="n">
        <v>350</v>
      </c>
    </row>
    <row r="17">
      <c r="A17" s="18" t="inlineStr">
        <is>
          <t>4-Month Total</t>
        </is>
      </c>
      <c r="B17" s="34" t="n"/>
      <c r="C17" s="34" t="n"/>
      <c r="D17" s="34" t="n"/>
      <c r="E17" s="34" t="n"/>
      <c r="F17" s="34" t="n"/>
      <c r="G17" s="34" t="n"/>
      <c r="H17" s="34" t="n"/>
      <c r="I17" s="34" t="n"/>
      <c r="J17" s="19" t="n">
        <v>716.2580277777778</v>
      </c>
      <c r="K17" s="34" t="n"/>
      <c r="L17" s="19" t="n">
        <v>-233.7419722222222</v>
      </c>
      <c r="M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BONUS PLAN - bonus calculation under 100% FLIP</t>
        </is>
      </c>
    </row>
    <row r="27">
      <c r="A27" s="6" t="inlineStr">
        <is>
          <t>Month</t>
        </is>
      </c>
      <c r="B27" s="6" t="inlineStr">
        <is>
          <t>NB base</t>
        </is>
      </c>
      <c r="C27" s="6" t="inlineStr">
        <is>
          <t>NB kicker</t>
        </is>
      </c>
      <c r="D27" s="6" t="inlineStr">
        <is>
          <t>NB target</t>
        </is>
      </c>
      <c r="E27" s="6" t="inlineStr">
        <is>
          <t>RWR base</t>
        </is>
      </c>
      <c r="F27" s="6" t="inlineStr">
        <is>
          <t>RWR kicker</t>
        </is>
      </c>
      <c r="G27" s="6" t="inlineStr">
        <is>
          <t>RWR target</t>
        </is>
      </c>
      <c r="H27" s="6" t="inlineStr">
        <is>
          <t>Retention bonus</t>
        </is>
      </c>
      <c r="I27" s="6" t="inlineStr">
        <is>
          <t>Total target</t>
        </is>
      </c>
      <c r="J27" s="6" t="inlineStr">
        <is>
          <t>PAID after MIN</t>
        </is>
      </c>
      <c r="K27" s="6" t="inlineStr">
        <is>
          <t>Gates</t>
        </is>
      </c>
      <c r="L27" s="6" t="inlineStr">
        <is>
          <t>vs Current</t>
        </is>
      </c>
      <c r="M27" s="6" t="inlineStr">
        <is>
          <t>Current</t>
        </is>
      </c>
    </row>
    <row r="28">
      <c r="A28" s="12" t="inlineStr">
        <is>
          <t>January</t>
        </is>
      </c>
      <c r="B28" s="11" t="n">
        <v>161</v>
      </c>
      <c r="C28" s="11" t="n">
        <v>0</v>
      </c>
      <c r="D28" s="11" t="n">
        <v>161</v>
      </c>
      <c r="E28" s="11" t="n">
        <v>22</v>
      </c>
      <c r="F28" s="11" t="n">
        <v>16.47352777777778</v>
      </c>
      <c r="G28" s="11" t="n">
        <v>38.47352777777778</v>
      </c>
      <c r="H28" s="11" t="n">
        <v>328.3769</v>
      </c>
      <c r="I28" s="11" t="n">
        <v>527.8504277777778</v>
      </c>
      <c r="J28" s="17" t="n">
        <v>328.3769</v>
      </c>
      <c r="K28" s="33" t="inlineStr">
        <is>
          <t>n/Y/n</t>
        </is>
      </c>
      <c r="L28" s="11" t="n">
        <v>78.37690000000003</v>
      </c>
      <c r="M28" s="11" t="n">
        <v>250</v>
      </c>
    </row>
    <row r="29">
      <c r="A29" s="12" t="inlineStr">
        <is>
          <t>February</t>
        </is>
      </c>
      <c r="B29" s="11" t="n">
        <v>161</v>
      </c>
      <c r="C29" s="11" t="n">
        <v>9.03216111111111</v>
      </c>
      <c r="D29" s="11" t="n">
        <v>170.0321611111111</v>
      </c>
      <c r="E29" s="11" t="n">
        <v>27</v>
      </c>
      <c r="F29" s="11" t="n">
        <v>3.460933333333334</v>
      </c>
      <c r="G29" s="11" t="n">
        <v>30.46093333333333</v>
      </c>
      <c r="H29" s="11" t="n">
        <v>427.723</v>
      </c>
      <c r="I29" s="11" t="n">
        <v>628.2160944444445</v>
      </c>
      <c r="J29" s="17" t="n">
        <v>427.723</v>
      </c>
      <c r="K29" s="33" t="inlineStr">
        <is>
          <t>n/Y/n</t>
        </is>
      </c>
      <c r="L29" s="11" t="n">
        <v>177.723</v>
      </c>
      <c r="M29" s="11" t="n">
        <v>250</v>
      </c>
    </row>
    <row r="30">
      <c r="A30" s="12" t="inlineStr">
        <is>
          <t>March</t>
        </is>
      </c>
      <c r="B30" s="11" t="n">
        <v>266</v>
      </c>
      <c r="C30" s="11" t="n">
        <v>32.92766666666667</v>
      </c>
      <c r="D30" s="11" t="n">
        <v>298.9276666666667</v>
      </c>
      <c r="E30" s="11" t="n">
        <v>14</v>
      </c>
      <c r="F30" s="11" t="n">
        <v>4.895833333333334</v>
      </c>
      <c r="G30" s="11" t="n">
        <v>18.89583333333334</v>
      </c>
      <c r="H30" s="11" t="n">
        <v>481.1417500000001</v>
      </c>
      <c r="I30" s="11" t="n">
        <v>798.96525</v>
      </c>
      <c r="J30" s="17" t="n">
        <v>798.96525</v>
      </c>
      <c r="K30" s="23" t="inlineStr">
        <is>
          <t>Y/Y/Y</t>
        </is>
      </c>
      <c r="L30" s="11" t="n">
        <v>448.96525</v>
      </c>
      <c r="M30" s="11" t="n">
        <v>350</v>
      </c>
    </row>
    <row r="31">
      <c r="A31" s="12" t="inlineStr">
        <is>
          <t>April</t>
        </is>
      </c>
      <c r="B31" s="11" t="n">
        <v>231</v>
      </c>
      <c r="C31" s="11" t="n">
        <v>16.60519444444445</v>
      </c>
      <c r="D31" s="11" t="n">
        <v>247.6051944444444</v>
      </c>
      <c r="E31" s="11" t="n">
        <v>8</v>
      </c>
      <c r="F31" s="11" t="n">
        <v>2</v>
      </c>
      <c r="G31" s="11" t="n">
        <v>10</v>
      </c>
      <c r="H31" s="11" t="n">
        <v>320.82715</v>
      </c>
      <c r="I31" s="11" t="n">
        <v>578.4323444444444</v>
      </c>
      <c r="J31" s="17" t="n">
        <v>578.4323444444444</v>
      </c>
      <c r="K31" s="23" t="inlineStr">
        <is>
          <t>Y/Y/Y</t>
        </is>
      </c>
      <c r="L31" s="11" t="n">
        <v>228.4323444444444</v>
      </c>
      <c r="M31" s="11" t="n">
        <v>350</v>
      </c>
    </row>
    <row r="32">
      <c r="A32" s="18" t="inlineStr">
        <is>
          <t>4-Month Total</t>
        </is>
      </c>
      <c r="B32" s="34" t="n"/>
      <c r="C32" s="34" t="n"/>
      <c r="D32" s="34" t="n"/>
      <c r="E32" s="34" t="n"/>
      <c r="F32" s="34" t="n"/>
      <c r="G32" s="34" t="n"/>
      <c r="H32" s="34" t="n"/>
      <c r="I32" s="34" t="n"/>
      <c r="J32" s="19" t="n">
        <v>2133.497494444444</v>
      </c>
      <c r="K32" s="34" t="n"/>
      <c r="L32" s="19" t="n">
        <v>933.4974944444443</v>
      </c>
      <c r="M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BONUS PLAN - bonus calculation under 100% FLIP</t>
        </is>
      </c>
    </row>
    <row r="42">
      <c r="A42" s="6" t="inlineStr">
        <is>
          <t>Month</t>
        </is>
      </c>
      <c r="B42" s="6" t="inlineStr">
        <is>
          <t>NB base</t>
        </is>
      </c>
      <c r="C42" s="6" t="inlineStr">
        <is>
          <t>NB kicker</t>
        </is>
      </c>
      <c r="D42" s="6" t="inlineStr">
        <is>
          <t>NB target</t>
        </is>
      </c>
      <c r="E42" s="6" t="inlineStr">
        <is>
          <t>RWR base</t>
        </is>
      </c>
      <c r="F42" s="6" t="inlineStr">
        <is>
          <t>RWR kicker</t>
        </is>
      </c>
      <c r="G42" s="6" t="inlineStr">
        <is>
          <t>RWR target</t>
        </is>
      </c>
      <c r="H42" s="6" t="inlineStr">
        <is>
          <t>Retention bonus</t>
        </is>
      </c>
      <c r="I42" s="6" t="inlineStr">
        <is>
          <t>Total target</t>
        </is>
      </c>
      <c r="J42" s="6" t="inlineStr">
        <is>
          <t>PAID after MIN</t>
        </is>
      </c>
      <c r="K42" s="6" t="inlineStr">
        <is>
          <t>Gates</t>
        </is>
      </c>
      <c r="L42" s="6" t="inlineStr">
        <is>
          <t>vs Current</t>
        </is>
      </c>
      <c r="M42" s="6" t="inlineStr">
        <is>
          <t>Current</t>
        </is>
      </c>
    </row>
    <row r="43">
      <c r="A43" s="12" t="inlineStr">
        <is>
          <t>January</t>
        </is>
      </c>
      <c r="B43" s="11" t="n">
        <v>155</v>
      </c>
      <c r="C43" s="11" t="n">
        <v>20.48777777777778</v>
      </c>
      <c r="D43" s="11" t="n">
        <v>175.4877777777778</v>
      </c>
      <c r="E43" s="11" t="n">
        <v>0</v>
      </c>
      <c r="F43" s="11" t="n">
        <v>0</v>
      </c>
      <c r="G43" s="11" t="n">
        <v>0</v>
      </c>
      <c r="H43" s="11" t="n">
        <v>316.8725</v>
      </c>
      <c r="I43" s="11" t="n">
        <v>492.3602777777778</v>
      </c>
      <c r="J43" s="17" t="n">
        <v>316.8725</v>
      </c>
      <c r="K43" s="33" t="inlineStr">
        <is>
          <t>n/Y/n</t>
        </is>
      </c>
      <c r="L43" s="11" t="n">
        <v>66.8725</v>
      </c>
      <c r="M43" s="11" t="n">
        <v>250</v>
      </c>
    </row>
    <row r="44">
      <c r="A44" s="12" t="inlineStr">
        <is>
          <t>February</t>
        </is>
      </c>
      <c r="B44" s="11" t="n">
        <v>65</v>
      </c>
      <c r="C44" s="11" t="n">
        <v>0</v>
      </c>
      <c r="D44" s="11" t="n">
        <v>65</v>
      </c>
      <c r="E44" s="11" t="n">
        <v>2</v>
      </c>
      <c r="F44" s="11" t="n">
        <v>0</v>
      </c>
      <c r="G44" s="11" t="n">
        <v>2</v>
      </c>
      <c r="H44" s="11" t="n">
        <v>249.9535</v>
      </c>
      <c r="I44" s="11" t="n">
        <v>316.9535</v>
      </c>
      <c r="J44" s="17" t="n">
        <v>249.9535</v>
      </c>
      <c r="K44" s="33" t="inlineStr">
        <is>
          <t>n/Y/n</t>
        </is>
      </c>
      <c r="L44" s="11" t="n">
        <v>249.9535</v>
      </c>
      <c r="M44" s="11" t="n">
        <v>0</v>
      </c>
    </row>
    <row r="45">
      <c r="A45" s="12" t="inlineStr">
        <is>
          <t>March</t>
        </is>
      </c>
      <c r="B45" s="11" t="n">
        <v>196</v>
      </c>
      <c r="C45" s="11" t="n">
        <v>0</v>
      </c>
      <c r="D45" s="11" t="n">
        <v>196</v>
      </c>
      <c r="E45" s="11" t="n">
        <v>2</v>
      </c>
      <c r="F45" s="11" t="n">
        <v>0.2411111111111111</v>
      </c>
      <c r="G45" s="11" t="n">
        <v>2.241111111111111</v>
      </c>
      <c r="H45" s="11" t="n">
        <v>284.303</v>
      </c>
      <c r="I45" s="11" t="n">
        <v>482.5441111111111</v>
      </c>
      <c r="J45" s="17" t="n">
        <v>284.303</v>
      </c>
      <c r="K45" s="33" t="inlineStr">
        <is>
          <t>n/Y/n</t>
        </is>
      </c>
      <c r="L45" s="11" t="n">
        <v>284.303</v>
      </c>
      <c r="M45" s="11" t="n">
        <v>0</v>
      </c>
    </row>
    <row r="46">
      <c r="A46" s="12" t="inlineStr">
        <is>
          <t>April</t>
        </is>
      </c>
      <c r="B46" s="11" t="n">
        <v>105</v>
      </c>
      <c r="C46" s="11" t="n">
        <v>11.4315</v>
      </c>
      <c r="D46" s="11" t="n">
        <v>116.4315</v>
      </c>
      <c r="E46" s="11" t="n">
        <v>0</v>
      </c>
      <c r="F46" s="11" t="n">
        <v>0</v>
      </c>
      <c r="G46" s="11" t="n">
        <v>0</v>
      </c>
      <c r="H46" s="11" t="n">
        <v>216.981</v>
      </c>
      <c r="I46" s="11" t="n">
        <v>333.4125</v>
      </c>
      <c r="J46" s="17" t="n">
        <v>216.981</v>
      </c>
      <c r="K46" s="33" t="inlineStr">
        <is>
          <t>n/Y/n</t>
        </is>
      </c>
      <c r="L46" s="11" t="n">
        <v>216.981</v>
      </c>
      <c r="M46" s="11" t="n">
        <v>0</v>
      </c>
    </row>
    <row r="47">
      <c r="A47" s="18" t="inlineStr">
        <is>
          <t>4-Month Total</t>
        </is>
      </c>
      <c r="B47" s="34" t="n"/>
      <c r="C47" s="34" t="n"/>
      <c r="D47" s="34" t="n"/>
      <c r="E47" s="34" t="n"/>
      <c r="F47" s="34" t="n"/>
      <c r="G47" s="34" t="n"/>
      <c r="H47" s="34" t="n"/>
      <c r="I47" s="34" t="n"/>
      <c r="J47" s="19" t="n">
        <v>1068.11</v>
      </c>
      <c r="K47" s="34" t="n"/>
      <c r="L47" s="19" t="n">
        <v>818.1100000000001</v>
      </c>
      <c r="M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BONUS PLAN - bonus calculation under 100% FLIP</t>
        </is>
      </c>
    </row>
    <row r="57">
      <c r="A57" s="6" t="inlineStr">
        <is>
          <t>Month</t>
        </is>
      </c>
      <c r="B57" s="6" t="inlineStr">
        <is>
          <t>NB base</t>
        </is>
      </c>
      <c r="C57" s="6" t="inlineStr">
        <is>
          <t>NB kicker</t>
        </is>
      </c>
      <c r="D57" s="6" t="inlineStr">
        <is>
          <t>NB target</t>
        </is>
      </c>
      <c r="E57" s="6" t="inlineStr">
        <is>
          <t>RWR base</t>
        </is>
      </c>
      <c r="F57" s="6" t="inlineStr">
        <is>
          <t>RWR kicker</t>
        </is>
      </c>
      <c r="G57" s="6" t="inlineStr">
        <is>
          <t>RWR target</t>
        </is>
      </c>
      <c r="H57" s="6" t="inlineStr">
        <is>
          <t>Retention bonus</t>
        </is>
      </c>
      <c r="I57" s="6" t="inlineStr">
        <is>
          <t>Total target</t>
        </is>
      </c>
      <c r="J57" s="6" t="inlineStr">
        <is>
          <t>PAID after MIN</t>
        </is>
      </c>
      <c r="K57" s="6" t="inlineStr">
        <is>
          <t>Gates</t>
        </is>
      </c>
      <c r="L57" s="6" t="inlineStr">
        <is>
          <t>vs Current</t>
        </is>
      </c>
      <c r="M57" s="6" t="inlineStr">
        <is>
          <t>Current</t>
        </is>
      </c>
    </row>
    <row r="58">
      <c r="A58" s="12" t="inlineStr">
        <is>
          <t>January</t>
        </is>
      </c>
      <c r="B58" s="11" t="n">
        <v>133</v>
      </c>
      <c r="C58" s="11" t="n">
        <v>9.513916666666665</v>
      </c>
      <c r="D58" s="11" t="n">
        <v>142.5139166666667</v>
      </c>
      <c r="E58" s="11" t="n">
        <v>3</v>
      </c>
      <c r="F58" s="11" t="n">
        <v>0.9603888888888887</v>
      </c>
      <c r="G58" s="11" t="n">
        <v>3.960388888888889</v>
      </c>
      <c r="H58" s="11" t="n">
        <v>197.79025</v>
      </c>
      <c r="I58" s="11" t="n">
        <v>344.2645555555556</v>
      </c>
      <c r="J58" s="17" t="n">
        <v>197.79025</v>
      </c>
      <c r="K58" s="33" t="inlineStr">
        <is>
          <t>n/Y/n</t>
        </is>
      </c>
      <c r="L58" s="11" t="n">
        <v>197.79025</v>
      </c>
      <c r="M58" s="11" t="n">
        <v>0</v>
      </c>
    </row>
    <row r="59">
      <c r="A59" s="12" t="inlineStr">
        <is>
          <t>February</t>
        </is>
      </c>
      <c r="B59" s="11" t="n">
        <v>115</v>
      </c>
      <c r="C59" s="11" t="n">
        <v>4.693166666666667</v>
      </c>
      <c r="D59" s="11" t="n">
        <v>119.6931666666667</v>
      </c>
      <c r="E59" s="11" t="n">
        <v>4</v>
      </c>
      <c r="F59" s="11" t="n">
        <v>0.4994444444444445</v>
      </c>
      <c r="G59" s="11" t="n">
        <v>4.499444444444444</v>
      </c>
      <c r="H59" s="11" t="n">
        <v>218.43725</v>
      </c>
      <c r="I59" s="11" t="n">
        <v>342.6298611111111</v>
      </c>
      <c r="J59" s="17" t="n">
        <v>218.43725</v>
      </c>
      <c r="K59" s="33" t="inlineStr">
        <is>
          <t>n/Y/n</t>
        </is>
      </c>
      <c r="L59" s="11" t="n">
        <v>218.43725</v>
      </c>
      <c r="M59" s="11" t="n">
        <v>0</v>
      </c>
    </row>
    <row r="60">
      <c r="A60" s="12" t="inlineStr">
        <is>
          <t>March</t>
        </is>
      </c>
      <c r="B60" s="11" t="n">
        <v>135</v>
      </c>
      <c r="C60" s="11" t="n">
        <v>41.85833333333333</v>
      </c>
      <c r="D60" s="11" t="n">
        <v>176.8583333333333</v>
      </c>
      <c r="E60" s="11" t="n">
        <v>0</v>
      </c>
      <c r="F60" s="11" t="n">
        <v>0</v>
      </c>
      <c r="G60" s="11" t="n">
        <v>0</v>
      </c>
      <c r="H60" s="11" t="n">
        <v>117.6335</v>
      </c>
      <c r="I60" s="11" t="n">
        <v>294.4918333333334</v>
      </c>
      <c r="J60" s="17" t="n">
        <v>117.6335</v>
      </c>
      <c r="K60" s="33" t="inlineStr">
        <is>
          <t>n/Y/n</t>
        </is>
      </c>
      <c r="L60" s="11" t="n">
        <v>117.6335</v>
      </c>
      <c r="M60" s="11" t="n">
        <v>0</v>
      </c>
    </row>
    <row r="61">
      <c r="A61" s="12" t="inlineStr">
        <is>
          <t>April</t>
        </is>
      </c>
      <c r="B61" s="11" t="n">
        <v>161</v>
      </c>
      <c r="C61" s="11" t="n">
        <v>17.5345</v>
      </c>
      <c r="D61" s="11" t="n">
        <v>178.5345</v>
      </c>
      <c r="E61" s="11" t="n">
        <v>2</v>
      </c>
      <c r="F61" s="11" t="n">
        <v>1.266666666666667</v>
      </c>
      <c r="G61" s="11" t="n">
        <v>3.266666666666667</v>
      </c>
      <c r="H61" s="11" t="n">
        <v>154.1638</v>
      </c>
      <c r="I61" s="11" t="n">
        <v>335.9649666666667</v>
      </c>
      <c r="J61" s="17" t="n">
        <v>154.1638</v>
      </c>
      <c r="K61" s="33" t="inlineStr">
        <is>
          <t>n/Y/n</t>
        </is>
      </c>
      <c r="L61" s="11" t="n">
        <v>154.1638</v>
      </c>
      <c r="M61" s="11" t="n">
        <v>0</v>
      </c>
    </row>
    <row r="62">
      <c r="A62" s="18" t="inlineStr">
        <is>
          <t>4-Month Total</t>
        </is>
      </c>
      <c r="B62" s="34" t="n"/>
      <c r="C62" s="34" t="n"/>
      <c r="D62" s="34" t="n"/>
      <c r="E62" s="34" t="n"/>
      <c r="F62" s="34" t="n"/>
      <c r="G62" s="34" t="n"/>
      <c r="H62" s="34" t="n"/>
      <c r="I62" s="34" t="n"/>
      <c r="J62" s="19" t="n">
        <v>688.0248</v>
      </c>
      <c r="K62" s="34" t="n"/>
      <c r="L62" s="19" t="n">
        <v>688.0248</v>
      </c>
      <c r="M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BONUS PLAN - bonus calculation under 100% FLIP</t>
        </is>
      </c>
    </row>
    <row r="72">
      <c r="A72" s="6" t="inlineStr">
        <is>
          <t>Month</t>
        </is>
      </c>
      <c r="B72" s="6" t="inlineStr">
        <is>
          <t>NB base</t>
        </is>
      </c>
      <c r="C72" s="6" t="inlineStr">
        <is>
          <t>NB kicker</t>
        </is>
      </c>
      <c r="D72" s="6" t="inlineStr">
        <is>
          <t>NB target</t>
        </is>
      </c>
      <c r="E72" s="6" t="inlineStr">
        <is>
          <t>RWR base</t>
        </is>
      </c>
      <c r="F72" s="6" t="inlineStr">
        <is>
          <t>RWR kicker</t>
        </is>
      </c>
      <c r="G72" s="6" t="inlineStr">
        <is>
          <t>RWR target</t>
        </is>
      </c>
      <c r="H72" s="6" t="inlineStr">
        <is>
          <t>Retention bonus</t>
        </is>
      </c>
      <c r="I72" s="6" t="inlineStr">
        <is>
          <t>Total target</t>
        </is>
      </c>
      <c r="J72" s="6" t="inlineStr">
        <is>
          <t>PAID after MIN</t>
        </is>
      </c>
      <c r="K72" s="6" t="inlineStr">
        <is>
          <t>Gates</t>
        </is>
      </c>
      <c r="L72" s="6" t="inlineStr">
        <is>
          <t>vs Current</t>
        </is>
      </c>
      <c r="M72" s="6" t="inlineStr">
        <is>
          <t>Current</t>
        </is>
      </c>
    </row>
    <row r="73">
      <c r="A73" s="12" t="inlineStr">
        <is>
          <t>January</t>
        </is>
      </c>
      <c r="B73" s="11" t="n">
        <v>70</v>
      </c>
      <c r="C73" s="11" t="n">
        <v>0</v>
      </c>
      <c r="D73" s="11" t="n">
        <v>70</v>
      </c>
      <c r="E73" s="11" t="n">
        <v>8</v>
      </c>
      <c r="F73" s="11" t="n">
        <v>0.7166666666666667</v>
      </c>
      <c r="G73" s="11" t="n">
        <v>8.716666666666667</v>
      </c>
      <c r="H73" s="11" t="n">
        <v>165.41965</v>
      </c>
      <c r="I73" s="11" t="n">
        <v>244.1363166666667</v>
      </c>
      <c r="J73" s="17" t="n">
        <v>165.41965</v>
      </c>
      <c r="K73" s="33" t="inlineStr">
        <is>
          <t>n/Y/n</t>
        </is>
      </c>
      <c r="L73" s="11" t="n">
        <v>165.41965</v>
      </c>
      <c r="M73" s="11" t="n">
        <v>0</v>
      </c>
    </row>
    <row r="74">
      <c r="A74" s="12" t="inlineStr">
        <is>
          <t>February</t>
        </is>
      </c>
      <c r="B74" s="11" t="n">
        <v>98</v>
      </c>
      <c r="C74" s="11" t="n">
        <v>6.119027777777778</v>
      </c>
      <c r="D74" s="11" t="n">
        <v>104.1190277777778</v>
      </c>
      <c r="E74" s="11" t="n">
        <v>15</v>
      </c>
      <c r="F74" s="11" t="n">
        <v>12.35</v>
      </c>
      <c r="G74" s="11" t="n">
        <v>27.35</v>
      </c>
      <c r="H74" s="11" t="n">
        <v>141.4908</v>
      </c>
      <c r="I74" s="11" t="n">
        <v>272.9598277777778</v>
      </c>
      <c r="J74" s="17" t="n">
        <v>141.4908</v>
      </c>
      <c r="K74" s="33" t="inlineStr">
        <is>
          <t>n/Y/n</t>
        </is>
      </c>
      <c r="L74" s="11" t="n">
        <v>141.4908</v>
      </c>
      <c r="M74" s="11" t="n">
        <v>0</v>
      </c>
    </row>
    <row r="75">
      <c r="A75" s="12" t="inlineStr">
        <is>
          <t>March</t>
        </is>
      </c>
      <c r="B75" s="11" t="n">
        <v>95</v>
      </c>
      <c r="C75" s="11" t="n">
        <v>17.89913888888888</v>
      </c>
      <c r="D75" s="11" t="n">
        <v>112.8991388888889</v>
      </c>
      <c r="E75" s="11" t="n">
        <v>12</v>
      </c>
      <c r="F75" s="11" t="n">
        <v>5.6775</v>
      </c>
      <c r="G75" s="11" t="n">
        <v>17.6775</v>
      </c>
      <c r="H75" s="11" t="n">
        <v>99.20425</v>
      </c>
      <c r="I75" s="11" t="n">
        <v>229.7808888888889</v>
      </c>
      <c r="J75" s="17" t="n">
        <v>99.20425</v>
      </c>
      <c r="K75" s="33" t="inlineStr">
        <is>
          <t>n/Y/n</t>
        </is>
      </c>
      <c r="L75" s="11" t="n">
        <v>99.20425</v>
      </c>
      <c r="M75" s="11" t="n">
        <v>0</v>
      </c>
    </row>
    <row r="76">
      <c r="A76" s="12" t="inlineStr">
        <is>
          <t>April</t>
        </is>
      </c>
      <c r="B76" s="11" t="n">
        <v>63</v>
      </c>
      <c r="C76" s="11" t="n">
        <v>24.16388888888889</v>
      </c>
      <c r="D76" s="11" t="n">
        <v>87.16388888888889</v>
      </c>
      <c r="E76" s="11" t="n">
        <v>9</v>
      </c>
      <c r="F76" s="11" t="n">
        <v>5.047222222222222</v>
      </c>
      <c r="G76" s="11" t="n">
        <v>14.04722222222222</v>
      </c>
      <c r="H76" s="11" t="n">
        <v>198.972</v>
      </c>
      <c r="I76" s="11" t="n">
        <v>300.1831111111111</v>
      </c>
      <c r="J76" s="17" t="n">
        <v>198.972</v>
      </c>
      <c r="K76" s="33" t="inlineStr">
        <is>
          <t>n/Y/n</t>
        </is>
      </c>
      <c r="L76" s="11" t="n">
        <v>198.972</v>
      </c>
      <c r="M76" s="11" t="n">
        <v>0</v>
      </c>
    </row>
    <row r="77">
      <c r="A77" s="18" t="inlineStr">
        <is>
          <t>4-Month Total</t>
        </is>
      </c>
      <c r="B77" s="34" t="n"/>
      <c r="C77" s="34" t="n"/>
      <c r="D77" s="34" t="n"/>
      <c r="E77" s="34" t="n"/>
      <c r="F77" s="34" t="n"/>
      <c r="G77" s="34" t="n"/>
      <c r="H77" s="34" t="n"/>
      <c r="I77" s="34" t="n"/>
      <c r="J77" s="19" t="n">
        <v>605.0867000000001</v>
      </c>
      <c r="K77" s="34" t="n"/>
      <c r="L77" s="19" t="n">
        <v>605.0867000000001</v>
      </c>
      <c r="M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BONUS PLAN - bonus calculation under 100% FLIP</t>
        </is>
      </c>
    </row>
    <row r="87">
      <c r="A87" s="6" t="inlineStr">
        <is>
          <t>Month</t>
        </is>
      </c>
      <c r="B87" s="6" t="inlineStr">
        <is>
          <t>NB base</t>
        </is>
      </c>
      <c r="C87" s="6" t="inlineStr">
        <is>
          <t>NB kicker</t>
        </is>
      </c>
      <c r="D87" s="6" t="inlineStr">
        <is>
          <t>NB target</t>
        </is>
      </c>
      <c r="E87" s="6" t="inlineStr">
        <is>
          <t>RWR base</t>
        </is>
      </c>
      <c r="F87" s="6" t="inlineStr">
        <is>
          <t>RWR kicker</t>
        </is>
      </c>
      <c r="G87" s="6" t="inlineStr">
        <is>
          <t>RWR target</t>
        </is>
      </c>
      <c r="H87" s="6" t="inlineStr">
        <is>
          <t>Retention bonus</t>
        </is>
      </c>
      <c r="I87" s="6" t="inlineStr">
        <is>
          <t>Total target</t>
        </is>
      </c>
      <c r="J87" s="6" t="inlineStr">
        <is>
          <t>PAID after MIN</t>
        </is>
      </c>
      <c r="K87" s="6" t="inlineStr">
        <is>
          <t>Gates</t>
        </is>
      </c>
      <c r="L87" s="6" t="inlineStr">
        <is>
          <t>vs Current</t>
        </is>
      </c>
      <c r="M87" s="6" t="inlineStr">
        <is>
          <t>Current</t>
        </is>
      </c>
    </row>
    <row r="88">
      <c r="A88" s="12" t="inlineStr">
        <is>
          <t>January</t>
        </is>
      </c>
      <c r="B88" s="11" t="n">
        <v>161</v>
      </c>
      <c r="C88" s="11" t="n">
        <v>16.45032222222222</v>
      </c>
      <c r="D88" s="11" t="n">
        <v>177.4503222222222</v>
      </c>
      <c r="E88" s="11" t="n">
        <v>12</v>
      </c>
      <c r="F88" s="11" t="n">
        <v>3.225455555555556</v>
      </c>
      <c r="G88" s="11" t="n">
        <v>15.22545555555556</v>
      </c>
      <c r="H88" s="11" t="n">
        <v>243.0648</v>
      </c>
      <c r="I88" s="11" t="n">
        <v>435.7405777777777</v>
      </c>
      <c r="J88" s="17" t="n">
        <v>243.0648</v>
      </c>
      <c r="K88" s="33" t="inlineStr">
        <is>
          <t>n/Y/n</t>
        </is>
      </c>
      <c r="L88" s="11" t="n">
        <v>243.0648</v>
      </c>
      <c r="M88" s="11" t="n">
        <v>0</v>
      </c>
    </row>
    <row r="89">
      <c r="A89" s="12" t="inlineStr">
        <is>
          <t>February</t>
        </is>
      </c>
      <c r="B89" s="11" t="n">
        <v>147</v>
      </c>
      <c r="C89" s="11" t="n">
        <v>21.01883333333334</v>
      </c>
      <c r="D89" s="11" t="n">
        <v>168.0188333333333</v>
      </c>
      <c r="E89" s="11" t="n">
        <v>6</v>
      </c>
      <c r="F89" s="11" t="n">
        <v>0</v>
      </c>
      <c r="G89" s="11" t="n">
        <v>6</v>
      </c>
      <c r="H89" s="11" t="n">
        <v>236.1409</v>
      </c>
      <c r="I89" s="11" t="n">
        <v>410.1597333333333</v>
      </c>
      <c r="J89" s="17" t="n">
        <v>236.1409</v>
      </c>
      <c r="K89" s="33" t="inlineStr">
        <is>
          <t>n/Y/n</t>
        </is>
      </c>
      <c r="L89" s="11" t="n">
        <v>236.1409</v>
      </c>
      <c r="M89" s="11" t="n">
        <v>0</v>
      </c>
    </row>
    <row r="90">
      <c r="A90" s="12" t="inlineStr">
        <is>
          <t>March</t>
        </is>
      </c>
      <c r="B90" s="11" t="n">
        <v>360</v>
      </c>
      <c r="C90" s="11" t="n">
        <v>52.16246666666667</v>
      </c>
      <c r="D90" s="11" t="n">
        <v>412.1624666666667</v>
      </c>
      <c r="E90" s="11" t="n">
        <v>0</v>
      </c>
      <c r="F90" s="11" t="n">
        <v>0</v>
      </c>
      <c r="G90" s="11" t="n">
        <v>0</v>
      </c>
      <c r="H90" s="11" t="n">
        <v>196.27325</v>
      </c>
      <c r="I90" s="11" t="n">
        <v>608.4357166666666</v>
      </c>
      <c r="J90" s="17" t="n">
        <v>608.4357166666666</v>
      </c>
      <c r="K90" s="23" t="inlineStr">
        <is>
          <t>Y/Y/Y</t>
        </is>
      </c>
      <c r="L90" s="11" t="n">
        <v>258.4357166666666</v>
      </c>
      <c r="M90" s="11" t="n">
        <v>350</v>
      </c>
    </row>
    <row r="91">
      <c r="A91" s="12" t="inlineStr">
        <is>
          <t>April</t>
        </is>
      </c>
      <c r="B91" s="11" t="n">
        <v>154</v>
      </c>
      <c r="C91" s="11" t="n">
        <v>18.39498888888889</v>
      </c>
      <c r="D91" s="11" t="n">
        <v>172.3949888888889</v>
      </c>
      <c r="E91" s="11" t="n">
        <v>6</v>
      </c>
      <c r="F91" s="11" t="n">
        <v>0</v>
      </c>
      <c r="G91" s="11" t="n">
        <v>6</v>
      </c>
      <c r="H91" s="11" t="n">
        <v>176.3995</v>
      </c>
      <c r="I91" s="11" t="n">
        <v>354.7944888888889</v>
      </c>
      <c r="J91" s="17" t="n">
        <v>176.3995</v>
      </c>
      <c r="K91" s="33" t="inlineStr">
        <is>
          <t>n/Y/n</t>
        </is>
      </c>
      <c r="L91" s="11" t="n">
        <v>176.3995</v>
      </c>
      <c r="M91" s="11" t="n">
        <v>0</v>
      </c>
    </row>
    <row r="92">
      <c r="A92" s="18" t="inlineStr">
        <is>
          <t>4-Month Total</t>
        </is>
      </c>
      <c r="B92" s="34" t="n"/>
      <c r="C92" s="34" t="n"/>
      <c r="D92" s="34" t="n"/>
      <c r="E92" s="34" t="n"/>
      <c r="F92" s="34" t="n"/>
      <c r="G92" s="34" t="n"/>
      <c r="H92" s="34" t="n"/>
      <c r="I92" s="34" t="n"/>
      <c r="J92" s="19" t="n">
        <v>1264.040916666667</v>
      </c>
      <c r="K92" s="34" t="n"/>
      <c r="L92" s="19" t="n">
        <v>914.0409166666666</v>
      </c>
      <c r="M92" s="19" t="n">
        <v>350</v>
      </c>
    </row>
  </sheetData>
  <mergeCells count="14">
    <mergeCell ref="A19:M19"/>
    <mergeCell ref="A79:M79"/>
    <mergeCell ref="A2:N2"/>
    <mergeCell ref="A34:M34"/>
    <mergeCell ref="A56:M56"/>
    <mergeCell ref="A4:M4"/>
    <mergeCell ref="A26:M26"/>
    <mergeCell ref="A86:M86"/>
    <mergeCell ref="A49:M49"/>
    <mergeCell ref="A64:M64"/>
    <mergeCell ref="A41:M41"/>
    <mergeCell ref="A71:M71"/>
    <mergeCell ref="A11:M11"/>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35" t="n">
        <v>95</v>
      </c>
      <c r="D9" s="19" t="n">
        <v>148327.72</v>
      </c>
      <c r="E9" s="19" t="n">
        <v>22884.08</v>
      </c>
      <c r="F9" s="36" t="n">
        <v>0.1542805350206961</v>
      </c>
      <c r="G9" s="35" t="n">
        <v>68</v>
      </c>
      <c r="H9" s="19" t="n">
        <v>98751.05</v>
      </c>
      <c r="I9" s="19" t="n">
        <v>20267.11</v>
      </c>
      <c r="J9" s="36" t="n">
        <v>0.2052343747231042</v>
      </c>
      <c r="K9" s="35" t="n">
        <v>34</v>
      </c>
      <c r="L9" s="19" t="n">
        <v>29958.99</v>
      </c>
      <c r="M9" s="19" t="n">
        <v>9869.66</v>
      </c>
      <c r="N9" s="36"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35" t="n">
        <v>117</v>
      </c>
      <c r="D15" s="19" t="n">
        <v>172431.4</v>
      </c>
      <c r="E15" s="19" t="n">
        <v>30069.75</v>
      </c>
      <c r="F15" s="36" t="n">
        <v>0.1743867416259452</v>
      </c>
      <c r="G15" s="35" t="n">
        <v>217</v>
      </c>
      <c r="H15" s="19" t="n">
        <v>311613.76</v>
      </c>
      <c r="I15" s="19" t="n">
        <v>61236.18000000001</v>
      </c>
      <c r="J15" s="36" t="n">
        <v>0.1965130808087551</v>
      </c>
      <c r="K15" s="35" t="n">
        <v>29</v>
      </c>
      <c r="L15" s="19" t="n">
        <v>49697.65</v>
      </c>
      <c r="M15" s="19" t="n">
        <v>12908.84</v>
      </c>
      <c r="N15" s="36"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35" t="n">
        <v>87</v>
      </c>
      <c r="D21" s="19" t="n">
        <v>103746.55</v>
      </c>
      <c r="E21" s="19" t="n">
        <v>19759.87</v>
      </c>
      <c r="F21" s="36" t="n">
        <v>0.1904629117787531</v>
      </c>
      <c r="G21" s="35" t="n">
        <v>170</v>
      </c>
      <c r="H21" s="19" t="n">
        <v>213622</v>
      </c>
      <c r="I21" s="19" t="n">
        <v>34981.46999999999</v>
      </c>
      <c r="J21" s="36" t="n">
        <v>0.1637540609113293</v>
      </c>
      <c r="K21" s="35" t="n">
        <v>2</v>
      </c>
      <c r="L21" s="19" t="n">
        <v>2097</v>
      </c>
      <c r="M21" s="19" t="n">
        <v>272.2</v>
      </c>
      <c r="N21" s="36"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35" t="n">
        <v>92</v>
      </c>
      <c r="D27" s="19" t="n">
        <v>111622.8</v>
      </c>
      <c r="E27" s="19" t="n">
        <v>24732.52</v>
      </c>
      <c r="F27" s="36" t="n">
        <v>0.2215722952658418</v>
      </c>
      <c r="G27" s="35" t="n">
        <v>135</v>
      </c>
      <c r="H27" s="19" t="n">
        <v>137604.96</v>
      </c>
      <c r="I27" s="19" t="n">
        <v>39386.63</v>
      </c>
      <c r="J27" s="36" t="n">
        <v>0.2862297260215039</v>
      </c>
      <c r="K27" s="35" t="n">
        <v>4</v>
      </c>
      <c r="L27" s="19" t="n">
        <v>4448.35</v>
      </c>
      <c r="M27" s="19" t="n">
        <v>1508.13</v>
      </c>
      <c r="N27" s="36"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35" t="n">
        <v>52</v>
      </c>
      <c r="D33" s="19" t="n">
        <v>66860.84</v>
      </c>
      <c r="E33" s="19" t="n">
        <v>14786.89</v>
      </c>
      <c r="F33" s="36" t="n">
        <v>0.2211592017091021</v>
      </c>
      <c r="G33" s="35" t="n">
        <v>100</v>
      </c>
      <c r="H33" s="19" t="n">
        <v>121017.34</v>
      </c>
      <c r="I33" s="19" t="n">
        <v>23394.14</v>
      </c>
      <c r="J33" s="36" t="n">
        <v>0.1933122972294714</v>
      </c>
      <c r="K33" s="35" t="n">
        <v>18</v>
      </c>
      <c r="L33" s="19" t="n">
        <v>20396.9</v>
      </c>
      <c r="M33" s="19" t="n">
        <v>8607.619999999999</v>
      </c>
      <c r="N33" s="36"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35" t="n">
        <v>102</v>
      </c>
      <c r="D39" s="19" t="n">
        <v>158423.95</v>
      </c>
      <c r="E39" s="19" t="n">
        <v>36281.62</v>
      </c>
      <c r="F39" s="36" t="n">
        <v>0.2290160042089596</v>
      </c>
      <c r="G39" s="35" t="n">
        <v>116</v>
      </c>
      <c r="H39" s="19" t="n">
        <v>170375.69</v>
      </c>
      <c r="I39" s="19" t="n">
        <v>27965.43</v>
      </c>
      <c r="J39" s="36" t="n">
        <v>0.1641397901308573</v>
      </c>
      <c r="K39" s="35" t="n">
        <v>10</v>
      </c>
      <c r="L39" s="19" t="n">
        <v>12108.91</v>
      </c>
      <c r="M39" s="19" t="n">
        <v>2003.29</v>
      </c>
      <c r="N39" s="36"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New plan target paid</t>
        </is>
      </c>
      <c r="B33" s="14" t="inlineStr">
        <is>
          <t>(from plan rules)</t>
        </is>
      </c>
      <c r="C33" s="14" t="inlineStr">
        <is>
          <t>Abel's January NB/REN/RWR under the new bonus plan</t>
        </is>
      </c>
      <c r="D33" s="14" t="inlineStr">
        <is>
          <t>$252.00</t>
        </is>
      </c>
      <c r="E33" s="14" t="inlineStr">
        <is>
          <t>That is 32% of safe net - under threshold, no flag</t>
        </is>
      </c>
    </row>
    <row r="35">
      <c r="A35" s="5" t="inlineStr">
        <is>
          <t>KEY TAKEAWAYS</t>
        </is>
      </c>
    </row>
    <row r="36" ht="40" customHeight="1">
      <c r="A36" s="37" t="inlineStr">
        <is>
          <t>Commission is an ADVANCE on written premium. We keep ~commission-on-collected once chargebacks settle out.</t>
        </is>
      </c>
    </row>
    <row r="37" ht="40" customHeight="1">
      <c r="A37" s="37" t="inlineStr">
        <is>
          <t>Down payment / PIF do NOT change the commission RATE. They reduce CHARGEBACK risk, which makes more of the advance permanent.</t>
        </is>
      </c>
    </row>
    <row r="38" ht="40" customHeight="1">
      <c r="A38" s="37" t="inlineStr">
        <is>
          <t>Safe net is what is LEFT after royalty and overhead reserve. It is the pool for bonus + agency profit + taxes.</t>
        </is>
      </c>
    </row>
    <row r="39" ht="40" customHeight="1">
      <c r="A39" s="37" t="inlineStr">
        <is>
          <t>Under TODAY'S plan, the 6 agents collectively receive $12,220 of bonus on $21,285 of safe net = ~57% of safe net. That is heavy. All three new proposals come in well below 57%.</t>
        </is>
      </c>
    </row>
    <row r="40" ht="40" customHeight="1">
      <c r="A40" s="37" t="inlineStr">
        <is>
          <t>The 40% review threshold is a soft flag, not an auto-cut. The 90-day chargeback on the bonus itself is the real profit shield.</t>
        </is>
      </c>
    </row>
  </sheetData>
  <mergeCells count="17">
    <mergeCell ref="A24:F24"/>
    <mergeCell ref="A2:F2"/>
    <mergeCell ref="A38:F38"/>
    <mergeCell ref="B7:F7"/>
    <mergeCell ref="B6:F6"/>
    <mergeCell ref="A36:F36"/>
    <mergeCell ref="B10:F10"/>
    <mergeCell ref="A1:F1"/>
    <mergeCell ref="A37:F37"/>
    <mergeCell ref="B5:F5"/>
    <mergeCell ref="A40:F40"/>
    <mergeCell ref="A12:F12"/>
    <mergeCell ref="A4:F4"/>
    <mergeCell ref="B8:F8"/>
    <mergeCell ref="A35:F35"/>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22" customWidth="1" min="1" max="1"/>
    <col width="18" customWidth="1" min="2" max="2"/>
    <col width="40" customWidth="1" min="3" max="3"/>
    <col width="26" customWidth="1" min="4" max="4"/>
    <col width="22" customWidth="1" min="5" max="5"/>
  </cols>
  <sheetData>
    <row r="1">
      <c r="A1" s="1" t="inlineStr">
        <is>
          <t>Collected Incentive - per policy, flat dollars</t>
        </is>
      </c>
    </row>
    <row r="2">
      <c r="A2" s="22" t="inlineStr">
        <is>
          <t>Per-policy flat dollar amount added to the base bonus. ONLY applies to policies with WRITTEN PREMIUM &gt; $1,200. A $800 policy does not earn the kicker, regardless of how much was collected.</t>
        </is>
      </c>
    </row>
    <row r="4">
      <c r="A4" s="6" t="inlineStr">
        <is>
          <t>Collected % of premium</t>
        </is>
      </c>
      <c r="B4" s="6" t="inlineStr">
        <is>
          <t>Per-policy kicker</t>
        </is>
      </c>
      <c r="C4" s="6" t="inlineStr">
        <is>
          <t>Plain English</t>
        </is>
      </c>
      <c r="D4" s="6" t="inlineStr">
        <is>
          <t>Example: $1,500 NB base $7</t>
        </is>
      </c>
      <c r="E4" s="6" t="inlineStr">
        <is>
          <t>Final per-policy pay</t>
        </is>
      </c>
    </row>
    <row r="5" ht="26" customHeight="1">
      <c r="A5" s="14" t="inlineStr">
        <is>
          <t>Below 15%</t>
        </is>
      </c>
      <c r="B5" s="14" t="inlineStr">
        <is>
          <t>$0 (none)</t>
        </is>
      </c>
      <c r="C5" s="14" t="inlineStr">
        <is>
          <t>Premium barely collected. No kicker.</t>
        </is>
      </c>
      <c r="D5" s="14" t="inlineStr">
        <is>
          <t>$1,500 NB, 10% down</t>
        </is>
      </c>
      <c r="E5" s="14" t="inlineStr">
        <is>
          <t>$7 (base only)</t>
        </is>
      </c>
    </row>
    <row r="6" ht="26" customHeight="1">
      <c r="A6" s="25" t="inlineStr">
        <is>
          <t>15% - 19%</t>
        </is>
      </c>
      <c r="B6" s="25" t="inlineStr">
        <is>
          <t>+$1</t>
        </is>
      </c>
      <c r="C6" s="25" t="inlineStr">
        <is>
          <t>Minimum down. Small bump.</t>
        </is>
      </c>
      <c r="D6" s="25" t="inlineStr">
        <is>
          <t>$1,500 NB, 17% down</t>
        </is>
      </c>
      <c r="E6" s="25" t="inlineStr">
        <is>
          <t>$7 + $1 = $8</t>
        </is>
      </c>
    </row>
    <row r="7" ht="26" customHeight="1">
      <c r="A7" s="14" t="inlineStr">
        <is>
          <t>20% - 24%</t>
        </is>
      </c>
      <c r="B7" s="14" t="inlineStr">
        <is>
          <t>+$2</t>
        </is>
      </c>
      <c r="C7" s="14" t="inlineStr">
        <is>
          <t>Standard down. Standard bump.</t>
        </is>
      </c>
      <c r="D7" s="14" t="inlineStr">
        <is>
          <t>$1,500 NB, 22% down</t>
        </is>
      </c>
      <c r="E7" s="14" t="inlineStr">
        <is>
          <t>$7 + $2 = $9</t>
        </is>
      </c>
    </row>
    <row r="8" ht="26" customHeight="1">
      <c r="A8" s="25" t="inlineStr">
        <is>
          <t>25% - 99%</t>
        </is>
      </c>
      <c r="B8" s="25" t="inlineStr">
        <is>
          <t>+$5</t>
        </is>
      </c>
      <c r="C8" s="25" t="inlineStr">
        <is>
          <t>High collection. Big bump.</t>
        </is>
      </c>
      <c r="D8" s="25" t="inlineStr">
        <is>
          <t>$1,500 NB, 30% down</t>
        </is>
      </c>
      <c r="E8" s="25" t="inlineStr">
        <is>
          <t>$7 + $5 = $12</t>
        </is>
      </c>
    </row>
    <row r="9" ht="26" customHeight="1">
      <c r="A9" s="14" t="inlineStr">
        <is>
          <t>100% PIF</t>
        </is>
      </c>
      <c r="B9" s="14" t="inlineStr">
        <is>
          <t>+$8</t>
        </is>
      </c>
      <c r="C9" s="14" t="inlineStr">
        <is>
          <t>Paid in full. Top kicker - zero chargeback risk.</t>
        </is>
      </c>
      <c r="D9" s="14" t="inlineStr">
        <is>
          <t>$1,500 NB PIF</t>
        </is>
      </c>
      <c r="E9" s="14" t="inlineStr">
        <is>
          <t>$7 + $8 = $15</t>
        </is>
      </c>
    </row>
    <row r="10" ht="26" customHeight="1">
      <c r="A10" s="25" t="inlineStr">
        <is>
          <t>Premium &lt;= $1,200</t>
        </is>
      </c>
      <c r="B10" s="25" t="inlineStr">
        <is>
          <t>$0 (no kicker)</t>
        </is>
      </c>
      <c r="C10" s="25" t="inlineStr">
        <is>
          <t>Low-premium policies do not earn the incentive, no matter the collected %.</t>
        </is>
      </c>
      <c r="D10" s="25" t="inlineStr">
        <is>
          <t>$800 NB, 50% down</t>
        </is>
      </c>
      <c r="E10" s="25" t="inlineStr">
        <is>
          <t>$5 (base only)</t>
        </is>
      </c>
    </row>
    <row r="13">
      <c r="A13" s="5" t="inlineStr">
        <is>
          <t>Why a per-policy flat kicker</t>
        </is>
      </c>
    </row>
    <row r="14" ht="30" customHeight="1">
      <c r="A14" s="37" t="inlineStr">
        <is>
          <t>Each policy earns its own kicker based on its own collected % - not the agent's total collected %. A $50 down on one policy and a PIF on another are rewarded separately.</t>
        </is>
      </c>
    </row>
    <row r="15" ht="30" customHeight="1">
      <c r="A15" s="37" t="inlineStr">
        <is>
          <t>The $1,200 premium floor excludes the smallest policies. A $700 policy at 25% collected is still only $175 in cash - not enough to justify a $5 bump.</t>
        </is>
      </c>
    </row>
    <row r="16" ht="30" customHeight="1">
      <c r="A16" s="37" t="inlineStr">
        <is>
          <t>Flat dollars (not a multiplier) make the math easy to audit. Every policy line on the tracker shows: base + kicker = pay.</t>
        </is>
      </c>
    </row>
    <row r="17" ht="30" customHeight="1">
      <c r="A17" s="37" t="inlineStr">
        <is>
          <t>PIF is the top tier at +$8 because PIF policies have zero chargeback risk - the carrier already has all the money.</t>
        </is>
      </c>
    </row>
  </sheetData>
  <mergeCells count="7">
    <mergeCell ref="A2:E2"/>
    <mergeCell ref="A16:E16"/>
    <mergeCell ref="A15:E15"/>
    <mergeCell ref="A1:E1"/>
    <mergeCell ref="A13:E13"/>
    <mergeCell ref="A14:E14"/>
    <mergeCell ref="A17:E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37" t="inlineStr">
        <is>
          <t>A hard cap on every month at a low % (e.g., 15%) would squash the plan so much that it pays the same amount regardless of agent performance - defeating the incentive entirely.</t>
        </is>
      </c>
    </row>
    <row r="17" ht="38" customHeight="1">
      <c r="A17" s="37" t="inlineStr">
        <is>
          <t>The 40% REVIEW threshold flags outlier months (low collection, high written premium) so ownership can act, without making the everyday bonus arbitrary.</t>
        </is>
      </c>
    </row>
    <row r="18" ht="38" customHeight="1">
      <c r="A18" s="37" t="inlineStr">
        <is>
          <t>The 90-day CHARGEBACK is the actual profit protection. If a policy cancels in 90 days, the bonus is reversed. That matches carrier commission chargeback exposure exactly.</t>
        </is>
      </c>
    </row>
    <row r="19" ht="38" customHeight="1">
      <c r="A19" s="37" t="inlineStr">
        <is>
          <t>The 4-month modeled cost: Current $12,220, New plan $6,475 at 100% FLIP (still cheaper than today AND aligns pay with the right behavior).</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43"/>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38" t="inlineStr">
        <is>
          <t>Per-policy BASE</t>
        </is>
      </c>
      <c r="B4" s="38" t="inlineStr">
        <is>
          <t>NB: &lt;$1,200=$5 | $1,200-$1,799=$7 | $1,800-$2,499=$10 | $2,500-$2,999=$13 | $3,000+ = $13+$2/$1k cap $25</t>
        </is>
      </c>
      <c r="C4" s="39" t="n"/>
      <c r="D4" s="39" t="n"/>
      <c r="E4" s="39" t="n"/>
      <c r="F4" s="39" t="n"/>
      <c r="G4" s="39" t="n"/>
      <c r="H4" s="39" t="n"/>
      <c r="I4" s="39" t="n"/>
      <c r="J4" s="39" t="n"/>
      <c r="K4" s="39" t="n"/>
      <c r="L4" s="39" t="n"/>
      <c r="M4" s="39" t="n"/>
      <c r="N4" s="39" t="n"/>
      <c r="O4" s="40" t="n"/>
    </row>
    <row r="5" ht="22" customHeight="1">
      <c r="A5" s="38" t="inlineStr">
        <is>
          <t>Per-policy BASE</t>
        </is>
      </c>
      <c r="B5" s="38" t="inlineStr">
        <is>
          <t>RWR: &lt;$1,200=$2 | $1,200-$1,799=$3 | $1,800+=$4</t>
        </is>
      </c>
      <c r="C5" s="39" t="n"/>
      <c r="D5" s="39" t="n"/>
      <c r="E5" s="39" t="n"/>
      <c r="F5" s="39" t="n"/>
      <c r="G5" s="39" t="n"/>
      <c r="H5" s="39" t="n"/>
      <c r="I5" s="39" t="n"/>
      <c r="J5" s="39" t="n"/>
      <c r="K5" s="39" t="n"/>
      <c r="L5" s="39" t="n"/>
      <c r="M5" s="39" t="n"/>
      <c r="N5" s="39" t="n"/>
      <c r="O5" s="40" t="n"/>
    </row>
    <row r="6" ht="22" customHeight="1">
      <c r="A6" s="38" t="inlineStr">
        <is>
          <t>Renewals</t>
        </is>
      </c>
      <c r="B6" s="38" t="inlineStr">
        <is>
          <t>NO per-policy REN. Renewals are paid via the RETENTION BONUS only.</t>
        </is>
      </c>
      <c r="C6" s="39" t="n"/>
      <c r="D6" s="39" t="n"/>
      <c r="E6" s="39" t="n"/>
      <c r="F6" s="39" t="n"/>
      <c r="G6" s="39" t="n"/>
      <c r="H6" s="39" t="n"/>
      <c r="I6" s="39" t="n"/>
      <c r="J6" s="39" t="n"/>
      <c r="K6" s="39" t="n"/>
      <c r="L6" s="39" t="n"/>
      <c r="M6" s="39" t="n"/>
      <c r="N6" s="39" t="n"/>
      <c r="O6" s="40" t="n"/>
    </row>
    <row r="7" ht="22" customHeight="1">
      <c r="A7" s="38" t="inlineStr">
        <is>
          <t>Retention Bonus</t>
        </is>
      </c>
      <c r="B7" s="38" t="inlineStr">
        <is>
          <t>REN written premium x 0.5% (e.g., $50k REN -&gt; $250 bonus). Paid monthly at the agent level, not per policy.</t>
        </is>
      </c>
      <c r="C7" s="39" t="n"/>
      <c r="D7" s="39" t="n"/>
      <c r="E7" s="39" t="n"/>
      <c r="F7" s="39" t="n"/>
      <c r="G7" s="39" t="n"/>
      <c r="H7" s="39" t="n"/>
      <c r="I7" s="39" t="n"/>
      <c r="J7" s="39" t="n"/>
      <c r="K7" s="39" t="n"/>
      <c r="L7" s="39" t="n"/>
      <c r="M7" s="39" t="n"/>
      <c r="N7" s="39" t="n"/>
      <c r="O7" s="40" t="n"/>
    </row>
    <row r="8" ht="22" customHeight="1">
      <c r="A8" s="38" t="inlineStr">
        <is>
          <t>Collected incentive</t>
        </is>
      </c>
      <c r="B8" s="38" t="inlineStr">
        <is>
          <t>Only on policies &gt; $1,200 premium. 15-19%=+$1 | 20-24%=+$2 | 25-99%=+$5 | 100% PIF=+$8</t>
        </is>
      </c>
      <c r="C8" s="39" t="n"/>
      <c r="D8" s="39" t="n"/>
      <c r="E8" s="39" t="n"/>
      <c r="F8" s="39" t="n"/>
      <c r="G8" s="39" t="n"/>
      <c r="H8" s="39" t="n"/>
      <c r="I8" s="39" t="n"/>
      <c r="J8" s="39" t="n"/>
      <c r="K8" s="39" t="n"/>
      <c r="L8" s="39" t="n"/>
      <c r="M8" s="39" t="n"/>
      <c r="N8" s="39" t="n"/>
      <c r="O8" s="40" t="n"/>
    </row>
    <row r="9" ht="22" customHeight="1">
      <c r="A9" s="38" t="inlineStr">
        <is>
          <t>Minimums (monthly)</t>
        </is>
      </c>
      <c r="B9" s="38" t="inlineStr">
        <is>
          <t>NB premium &gt;= $45,000 | REN retention &gt;= 30% of book | RWR follows NB gate</t>
        </is>
      </c>
      <c r="C9" s="39" t="n"/>
      <c r="D9" s="39" t="n"/>
      <c r="E9" s="39" t="n"/>
      <c r="F9" s="39" t="n"/>
      <c r="G9" s="39" t="n"/>
      <c r="H9" s="39" t="n"/>
      <c r="I9" s="39" t="n"/>
      <c r="J9" s="39" t="n"/>
      <c r="K9" s="39" t="n"/>
      <c r="L9" s="39" t="n"/>
      <c r="M9" s="39" t="n"/>
      <c r="N9" s="39" t="n"/>
      <c r="O9" s="40" t="n"/>
    </row>
    <row r="10" ht="22" customHeight="1">
      <c r="A10" s="38" t="inlineStr">
        <is>
          <t>Chargeback</t>
        </is>
      </c>
      <c r="B10" s="38" t="inlineStr">
        <is>
          <t>3 months (90 days) - bonus reversed if policy cancels/rewrites within 90 days</t>
        </is>
      </c>
      <c r="C10" s="39" t="n"/>
      <c r="D10" s="39" t="n"/>
      <c r="E10" s="39" t="n"/>
      <c r="F10" s="39" t="n"/>
      <c r="G10" s="39" t="n"/>
      <c r="H10" s="39" t="n"/>
      <c r="I10" s="39" t="n"/>
      <c r="J10" s="39" t="n"/>
      <c r="K10" s="39" t="n"/>
      <c r="L10" s="39" t="n"/>
      <c r="M10" s="39" t="n"/>
      <c r="N10" s="39" t="n"/>
      <c r="O10" s="40" t="n"/>
    </row>
    <row r="12">
      <c r="A12" s="5" t="inlineStr">
        <is>
          <t>ONE ROW PER POLICY</t>
        </is>
      </c>
    </row>
    <row r="13">
      <c r="A13" s="6" t="inlineStr">
        <is>
          <t>Agent</t>
        </is>
      </c>
      <c r="B13" s="6" t="inlineStr">
        <is>
          <t>Customer</t>
        </is>
      </c>
      <c r="C13" s="6" t="inlineStr">
        <is>
          <t>Policy #</t>
        </is>
      </c>
      <c r="D13" s="6" t="inlineStr">
        <is>
          <t>Carrier</t>
        </is>
      </c>
      <c r="E13" s="6" t="inlineStr">
        <is>
          <t>Type (NB/RWR/REN)</t>
        </is>
      </c>
      <c r="F13" s="6" t="inlineStr">
        <is>
          <t>Eff Date</t>
        </is>
      </c>
      <c r="G13" s="6" t="inlineStr">
        <is>
          <t>Exp Date</t>
        </is>
      </c>
      <c r="H13" s="6" t="inlineStr">
        <is>
          <t>90-Day Review Date</t>
        </is>
      </c>
      <c r="I13" s="6" t="inlineStr">
        <is>
          <t>Written Premium</t>
        </is>
      </c>
      <c r="J13" s="6" t="inlineStr">
        <is>
          <t>Down Payment $</t>
        </is>
      </c>
      <c r="K13" s="6" t="inlineStr">
        <is>
          <t>Collected % (calc)</t>
        </is>
      </c>
      <c r="L13" s="6" t="inlineStr">
        <is>
          <t>PIF?</t>
        </is>
      </c>
      <c r="M13" s="6" t="inlineStr">
        <is>
          <t>Per-Policy Base $</t>
        </is>
      </c>
      <c r="N13" s="6" t="inlineStr">
        <is>
          <t>Collected Incentive $</t>
        </is>
      </c>
      <c r="O13" s="6" t="inlineStr">
        <is>
          <t>Total Bonus $</t>
        </is>
      </c>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row r="42">
      <c r="A42" s="14" t="inlineStr"/>
      <c r="B42" s="14" t="inlineStr"/>
      <c r="C42" s="14" t="inlineStr"/>
      <c r="D42" s="14" t="inlineStr"/>
      <c r="E42" s="14" t="inlineStr"/>
      <c r="F42" s="14" t="inlineStr"/>
      <c r="G42" s="14" t="inlineStr"/>
      <c r="H42" s="14" t="inlineStr"/>
      <c r="I42" s="14" t="inlineStr"/>
      <c r="J42" s="14" t="inlineStr"/>
      <c r="K42" s="14" t="inlineStr"/>
      <c r="L42" s="14" t="inlineStr"/>
      <c r="M42" s="14" t="inlineStr"/>
      <c r="N42" s="14" t="inlineStr"/>
      <c r="O42" s="14" t="inlineStr"/>
    </row>
    <row r="43">
      <c r="A43" s="14" t="inlineStr"/>
      <c r="B43" s="14" t="inlineStr"/>
      <c r="C43" s="14" t="inlineStr"/>
      <c r="D43" s="14" t="inlineStr"/>
      <c r="E43" s="14" t="inlineStr"/>
      <c r="F43" s="14" t="inlineStr"/>
      <c r="G43" s="14" t="inlineStr"/>
      <c r="H43" s="14" t="inlineStr"/>
      <c r="I43" s="14" t="inlineStr"/>
      <c r="J43" s="14" t="inlineStr"/>
      <c r="K43" s="14" t="inlineStr"/>
      <c r="L43" s="14" t="inlineStr"/>
      <c r="M43" s="14" t="inlineStr"/>
      <c r="N43" s="14" t="inlineStr"/>
      <c r="O43" s="14" t="inlineStr"/>
    </row>
  </sheetData>
  <mergeCells count="11">
    <mergeCell ref="B9:O9"/>
    <mergeCell ref="A12:O12"/>
    <mergeCell ref="B8:O8"/>
    <mergeCell ref="B4:O4"/>
    <mergeCell ref="A2:O2"/>
    <mergeCell ref="B6:O6"/>
    <mergeCell ref="B7:O7"/>
    <mergeCell ref="A1:O1"/>
    <mergeCell ref="B10:O10"/>
    <mergeCell ref="B5:O5"/>
    <mergeCell ref="A3:O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NB per-policy base tiers</t>
        </is>
      </c>
      <c r="B14" s="25" t="inlineStr">
        <is>
          <t>$5 / $7 / $10 / $13 / $13+$2/$1k cap $25</t>
        </is>
      </c>
      <c r="C14" s="25" t="inlineStr">
        <is>
          <t>NB pay by written premium tier.</t>
        </is>
      </c>
      <c r="D14" s="25" t="inlineStr">
        <is>
          <t>Calibrated so 100% FLIP pays ~53% of today current.</t>
        </is>
      </c>
    </row>
    <row r="15" ht="26" customHeight="1">
      <c r="A15" s="14" t="inlineStr">
        <is>
          <t>RWR per-policy base tiers</t>
        </is>
      </c>
      <c r="B15" s="14" t="inlineStr">
        <is>
          <t>$2 / $3 / $4</t>
        </is>
      </c>
      <c r="C15" s="14" t="inlineStr">
        <is>
          <t>RWR pay by written premium tier (no high-tier kicker).</t>
        </is>
      </c>
      <c r="D15" s="14" t="inlineStr">
        <is>
          <t>-</t>
        </is>
      </c>
    </row>
    <row r="16" ht="26" customHeight="1">
      <c r="A16" s="25" t="inlineStr">
        <is>
          <t>REN per-policy pay</t>
        </is>
      </c>
      <c r="B16" s="25" t="inlineStr">
        <is>
          <t>None</t>
        </is>
      </c>
      <c r="C16" s="25" t="inlineStr">
        <is>
          <t>Renewals are paid via the retention bonus only.</t>
        </is>
      </c>
      <c r="D16" s="25" t="inlineStr">
        <is>
          <t>See next row.</t>
        </is>
      </c>
    </row>
    <row r="17" ht="26" customHeight="1">
      <c r="A17" s="14" t="inlineStr">
        <is>
          <t>Retention bonus</t>
        </is>
      </c>
      <c r="B17" s="14" t="inlineStr">
        <is>
          <t>REN written premium x 0.5%</t>
        </is>
      </c>
      <c r="C17" s="14" t="inlineStr">
        <is>
          <t>The single payment for renewals. Scales with book size, premium per renewal, and retention rate.</t>
        </is>
      </c>
      <c r="D17" s="14" t="inlineStr">
        <is>
          <t>$50k retained -&gt; $250 bonus; $25k retained -&gt; $125.</t>
        </is>
      </c>
    </row>
    <row r="18" ht="26" customHeight="1">
      <c r="A18" s="25" t="inlineStr">
        <is>
          <t>Collected kicker tiers (NB and RWR only)</t>
        </is>
      </c>
      <c r="B18" s="25" t="inlineStr">
        <is>
          <t>0-14% / 15-24% / 25-49% / 50-99% / 100%</t>
        </is>
      </c>
      <c r="C18" s="25" t="inlineStr">
        <is>
          <t>$0 / +$1 / +$2 / +$5 / +$8 per policy above $1,200 written premium</t>
        </is>
      </c>
      <c r="D18" s="25" t="inlineStr">
        <is>
          <t>Per-policy dollar add-on, not a percentage.</t>
        </is>
      </c>
    </row>
    <row r="19" ht="26" customHeight="1">
      <c r="A19" s="14" t="inlineStr">
        <is>
          <t>NB minimum</t>
        </is>
      </c>
      <c r="B19" s="14" t="inlineStr">
        <is>
          <t>$45,000/mo written premium</t>
        </is>
      </c>
      <c r="C19" s="14" t="inlineStr">
        <is>
          <t>Agent must write at least this in NB to earn NB and RWR bonus.</t>
        </is>
      </c>
      <c r="D19" s="14" t="inlineStr">
        <is>
          <t>~30% of REAL agent-months pass this gate.</t>
        </is>
      </c>
    </row>
    <row r="20" ht="26" customHeight="1">
      <c r="A20" s="25" t="inlineStr">
        <is>
          <t>REN minimum</t>
        </is>
      </c>
      <c r="B20" s="25" t="inlineStr">
        <is>
          <t>30% retention rate</t>
        </is>
      </c>
      <c r="C20" s="25" t="inlineStr">
        <is>
          <t>Agent must retain at least 30% of book up for renewal to earn the retention bonus.</t>
        </is>
      </c>
      <c r="D20" s="25" t="inlineStr">
        <is>
          <t>Computed from agency renewal history.</t>
        </is>
      </c>
    </row>
    <row r="21" ht="26" customHeight="1">
      <c r="A21" s="14" t="inlineStr">
        <is>
          <t>RWR gate</t>
        </is>
      </c>
      <c r="B21" s="14" t="inlineStr">
        <is>
          <t>NB minimum met</t>
        </is>
      </c>
      <c r="C21" s="14" t="inlineStr">
        <is>
          <t>RWR bonus only pays when the NB gate passes.</t>
        </is>
      </c>
      <c r="D21" s="14" t="inlineStr">
        <is>
          <t>No separate RWR minimum.</t>
        </is>
      </c>
    </row>
    <row r="22" ht="26" customHeight="1">
      <c r="A22" s="25" t="inlineStr">
        <is>
          <t>Source data</t>
        </is>
      </c>
      <c r="B22" s="25" t="inlineStr">
        <is>
          <t>agents_nbrwr_pivots_good_.xlsx</t>
        </is>
      </c>
      <c r="C22" s="25" t="inlineStr">
        <is>
          <t>NB / RWR / REN counts and premiums for Jan-Apr 2026.</t>
        </is>
      </c>
      <c r="D22" s="25" t="inlineStr">
        <is>
          <t>6 agents: Abel, Dialinerys, Melissa, Flavia, Thalia, Monica.</t>
        </is>
      </c>
    </row>
    <row r="23" ht="26" customHeight="1">
      <c r="A23" s="14" t="inlineStr">
        <is>
          <t>50% Swap scenario</t>
        </is>
      </c>
      <c r="B23" s="14" t="inlineStr">
        <is>
          <t>50% RWR to REN</t>
        </is>
      </c>
      <c r="C23" s="14" t="inlineStr">
        <is>
          <t>Half of rewrites reclassified as renewals.</t>
        </is>
      </c>
      <c r="D23" s="14" t="inlineStr">
        <is>
          <t>Premium and collected $ stay the same.</t>
        </is>
      </c>
    </row>
    <row r="24" ht="26" customHeight="1">
      <c r="A24" s="25" t="inlineStr">
        <is>
          <t>100% Flip scenario</t>
        </is>
      </c>
      <c r="B24" s="25" t="inlineStr">
        <is>
          <t>RWR &lt;-&gt; REN</t>
        </is>
      </c>
      <c r="C24" s="25" t="inlineStr">
        <is>
          <t>Rewrites and renewals fully swapped - "if you had been renewing all along".</t>
        </is>
      </c>
      <c r="D24"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2026-05-22T20:34:16Z</dcterms:created>
  <dcterms:modified xmlns:dcterms="http://purl.org/dc/terms/" xmlns:xsi="http://www.w3.org/2001/XMLSchema-instance" xsi:type="dcterms:W3CDTF">2026-05-22T20:34:16Z</dcterms:modified>
</cp:coreProperties>
</file>